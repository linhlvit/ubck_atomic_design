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46AC69D1-A173-4CB9-8A2D-9FFBC103AD1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hi tiết bảng NV" sheetId="2" r:id="rId1"/>
    <sheet name="Chi tiết bảng HT" sheetId="3" r:id="rId2"/>
    <sheet name="Kế hoạch" sheetId="4" r:id="rId3"/>
  </sheets>
  <definedNames>
    <definedName name="_xlnm._FilterDatabase" localSheetId="1" hidden="1">'Chi tiết bảng HT'!$A$2:$F$463</definedName>
    <definedName name="_xlnm._FilterDatabase" localSheetId="0" hidden="1">'Chi tiết bảng NV'!$A$2:$F$729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N15" i="4"/>
  <c r="N14" i="4"/>
  <c r="N13" i="4"/>
  <c r="N10" i="4"/>
  <c r="N9" i="4"/>
  <c r="N6" i="4"/>
  <c r="N5" i="4"/>
  <c r="N4" i="4"/>
  <c r="N3" i="4"/>
  <c r="M16" i="4"/>
  <c r="M15" i="4"/>
  <c r="M14" i="4"/>
  <c r="M13" i="4"/>
  <c r="M10" i="4"/>
  <c r="M9" i="4"/>
  <c r="M6" i="4"/>
  <c r="M5" i="4"/>
  <c r="M4" i="4"/>
  <c r="M3" i="4"/>
  <c r="E31" i="4" l="1"/>
  <c r="B28" i="4" s="1"/>
  <c r="C28" i="4" s="1"/>
  <c r="D28" i="4" s="1"/>
  <c r="E28" i="4" s="1"/>
  <c r="B30" i="4"/>
  <c r="C30" i="4" s="1"/>
  <c r="D30" i="4" s="1"/>
  <c r="B25" i="4"/>
  <c r="C25" i="4" s="1"/>
  <c r="L6" i="4"/>
  <c r="L5" i="4"/>
  <c r="E30" i="4" l="1"/>
  <c r="E15" i="4"/>
  <c r="E14" i="4"/>
  <c r="E13" i="4"/>
  <c r="E12" i="4"/>
  <c r="E11" i="4"/>
  <c r="E10" i="4"/>
  <c r="E9" i="4"/>
  <c r="E8" i="4"/>
  <c r="E7" i="4"/>
  <c r="E6" i="4"/>
  <c r="E5" i="4"/>
  <c r="E4" i="4"/>
  <c r="E3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F7" i="4" l="1"/>
  <c r="F15" i="4"/>
  <c r="F4" i="4"/>
  <c r="F12" i="4"/>
  <c r="F9" i="4"/>
  <c r="F5" i="4"/>
  <c r="F8" i="4"/>
  <c r="F10" i="4"/>
  <c r="F3" i="4"/>
  <c r="F11" i="4"/>
  <c r="F13" i="4"/>
  <c r="F6" i="4"/>
  <c r="F14" i="4"/>
  <c r="E17" i="4"/>
  <c r="C17" i="4"/>
  <c r="B17" i="4"/>
  <c r="D17" i="4"/>
  <c r="F17" i="4" l="1"/>
  <c r="B26" i="4"/>
  <c r="C26" i="4" s="1"/>
  <c r="D26" i="4" s="1"/>
  <c r="B29" i="4"/>
  <c r="C29" i="4"/>
  <c r="D29" i="4" s="1"/>
  <c r="E29" i="4" s="1"/>
  <c r="B23" i="4" l="1"/>
  <c r="E26" i="4"/>
  <c r="C23" i="4" l="1"/>
  <c r="D23" i="4" s="1"/>
  <c r="E23" i="4" s="1"/>
  <c r="B22" i="4"/>
  <c r="C22" i="4" s="1"/>
  <c r="D22" i="4" s="1"/>
  <c r="E22" i="4" s="1"/>
  <c r="B21" i="4"/>
  <c r="C21" i="4"/>
  <c r="D21" i="4"/>
  <c r="E21" i="4"/>
  <c r="B27" i="4"/>
  <c r="C27" i="4"/>
  <c r="D27" i="4"/>
  <c r="B31" i="4"/>
  <c r="C31" i="4"/>
  <c r="E27" i="4"/>
</calcChain>
</file>

<file path=xl/sharedStrings.xml><?xml version="1.0" encoding="utf-8"?>
<sst xmlns="http://schemas.openxmlformats.org/spreadsheetml/2006/main" count="5450" uniqueCount="2341">
  <si>
    <t>DANH SÁCH CHI TIẾT BẢNG NGHIỆP VỤ</t>
  </si>
  <si>
    <t>STT</t>
  </si>
  <si>
    <t>Tên bảng</t>
  </si>
  <si>
    <t>Mô tả</t>
  </si>
  <si>
    <t>Phân hệ</t>
  </si>
  <si>
    <t>Loại</t>
  </si>
  <si>
    <t>Logical Object (Thiết kế)</t>
  </si>
  <si>
    <t>COUNTRY</t>
  </si>
  <si>
    <t>Lưu thông tin mã quốc gia; tên tiếng việt; tên tiếng anh</t>
  </si>
  <si>
    <t>Danh mục điện tử dùng chung (Q2)</t>
  </si>
  <si>
    <t>Danh mục</t>
  </si>
  <si>
    <t>Location</t>
  </si>
  <si>
    <t>REGION</t>
  </si>
  <si>
    <t>Lưu thông tin mã vùng; tên phân hệ; trạng thái (1: active, 0: unactive)</t>
  </si>
  <si>
    <t>PROVINCE_NEW</t>
  </si>
  <si>
    <t>Lưu thông tin mã tỉnh/thành phố'; tên tiếng việt; tên tiếng anh</t>
  </si>
  <si>
    <t>PROVINCE_OLD</t>
  </si>
  <si>
    <t>DISTRICT_OLD</t>
  </si>
  <si>
    <t>Lưu thông tin mã quận/huyện; tên phân hệ; stable id tỉnh/thành phố cũ (tham chiếu province_old.stableid)</t>
  </si>
  <si>
    <t>WARD_NEW</t>
  </si>
  <si>
    <t>Lưu thông tin mã phường/xã; tên tiếng việt; tên tiếng anh</t>
  </si>
  <si>
    <t>WARD_OLD</t>
  </si>
  <si>
    <t>Lưu thông tin mã phường/xã'; tên tiếng việt; tên tiếng anh</t>
  </si>
  <si>
    <t>CURRENCY</t>
  </si>
  <si>
    <t>lưu danh sách danh mục tiền tệ</t>
  </si>
  <si>
    <t>Classification</t>
  </si>
  <si>
    <t>DEPARTMENT</t>
  </si>
  <si>
    <t>lưu danh sách danh mục phòng ban</t>
  </si>
  <si>
    <t>ENTERPRISE_TYPE</t>
  </si>
  <si>
    <t>Danh mục loại: mã phòng ban; tên phòng ban; nhãn hiển thị</t>
  </si>
  <si>
    <t>SECURITY_TYPE</t>
  </si>
  <si>
    <t>Danh mục loại: mã loại chứng khoán (auto: lck-{seq}); tên loại chứng khoán; trạng thái hoạt động (1: đang sử dụng, 0: không sử dụng)</t>
  </si>
  <si>
    <t>MARKET</t>
  </si>
  <si>
    <t>Lưu thông tin mã thị trường; tên thị trường; trạng thái hoạt động (1: đang sử dụng, 0: không sử dụng)</t>
  </si>
  <si>
    <t>SECURITY</t>
  </si>
  <si>
    <t>Lưu thông tin mã chứng khoán; tên chứng khoán; nhãn hiển thị</t>
  </si>
  <si>
    <t>PAR_VALUE</t>
  </si>
  <si>
    <t>Danh sách mệnh giá cổ phần/chứng chỉ quỹ</t>
  </si>
  <si>
    <t>FINANCIAL_INDICATOR</t>
  </si>
  <si>
    <t>Lưu thông tin mã chỉ tiêu tài chính; tên chỉ tiêu tài chính; trạng thái hoạt động (1: đang sử dụng, 0: không sử dụng)</t>
  </si>
  <si>
    <t>FINANCIAL_REPORT_TYPE</t>
  </si>
  <si>
    <t>Danh mục loại: mã loại báo cáo tài chính; tên loại báo cáo tài chính; trạng thái hoạt động (1: đang sử dụng, 0: không sử dụng)</t>
  </si>
  <si>
    <t>INVESTOR_CATEGORY</t>
  </si>
  <si>
    <t>Danh mục: mã loại nhà đầu tư; tên loại nhà đầu tư; trạng thái hoạt động (1: đang sử dụng, 0: không sử dụng)</t>
  </si>
  <si>
    <t>INVESTOR_TYPE</t>
  </si>
  <si>
    <t>Danh mục loại: mã loại hình nhà đầu tư; tên loại hình nhà đầu tư; loại áp dụng</t>
  </si>
  <si>
    <t>FUND_TYPE</t>
  </si>
  <si>
    <t>Danh mục loại quỹ đầu tư</t>
  </si>
  <si>
    <t>AGENT_TYPE</t>
  </si>
  <si>
    <t>Danh mục loại: mã đại lý; tên loại đại lý; stable id loại hình quỹ (tham chiếu fund_type.stableid)</t>
  </si>
  <si>
    <t>ENTERPRISE_POSITION_TYPE</t>
  </si>
  <si>
    <t>Danh mục loại: mã loại chức vụ; tên loại chức vụ; công bố thông tin (1: có, 0: không)</t>
  </si>
  <si>
    <t>ENTERPRISE_POSITION</t>
  </si>
  <si>
    <t>Lưu thông tin mã chức vụ; tên chức vụ; thứ tự sắp xếp</t>
  </si>
  <si>
    <t>POSTION_TYPE</t>
  </si>
  <si>
    <t>Danh mục loại: mã loại chức danh; tên loại chức danh; công bố thông tin (1: có, 0: không)</t>
  </si>
  <si>
    <t>POSTION</t>
  </si>
  <si>
    <t>Lưu thông tin mã loại chức danh; tên loại chức danh; thứ tự sắp xếp</t>
  </si>
  <si>
    <t>RELATIONSHIP_CATEGORY</t>
  </si>
  <si>
    <t>Danh mục: mã đại lý; tên loại đại lý; đối tượng áp dụng</t>
  </si>
  <si>
    <t>QUALIFICATION_CATEGORY</t>
  </si>
  <si>
    <t>Danh mục: mã trình độ; tên trình độ; mô tả chi tiết</t>
  </si>
  <si>
    <t>APPLIED_SUBJECT</t>
  </si>
  <si>
    <t>Lưu thông tin mã đối tượng áp dụng; tên đối tượng áp dụng; trạng thái hoạt động (1: đang sử dụng, 0: không sử dụng)</t>
  </si>
  <si>
    <t>FREQUENCY_REPORT</t>
  </si>
  <si>
    <t>Lưu thông tin mã kỳ báo cáo; tên kỳ báo cáo; trạng thái hoạt động (1: đang sử dụng, 0: không sử dụng)</t>
  </si>
  <si>
    <t>PRACTICE_CERTIFICATE_TYPE</t>
  </si>
  <si>
    <t>Danh mục loại: mã đại lý; tên loại đại lý; thành phần hồ sơ</t>
  </si>
  <si>
    <t>WORKING_SCHEDULE</t>
  </si>
  <si>
    <t>Lưu thông tin mã lịch làm việc; tên lịch làm việc; loại lịch làm việc</t>
  </si>
  <si>
    <t>BUSINESS_ACTIVITY</t>
  </si>
  <si>
    <t>Lưu thông tin mã hoạt động kinh doanh; tên hoạt động kinh doanh; số vốn pháp định</t>
  </si>
  <si>
    <t>BUSINESS_SERVICE</t>
  </si>
  <si>
    <t>Lưu thông tin mã dịch vụ; tên dịch vụ; stable id loại hình doanh nghiệp (tham chiếu enterprise_type.stableid)</t>
  </si>
  <si>
    <t>BUSINESS_EVENT</t>
  </si>
  <si>
    <t>Lưu thông tin mã sự vụ; tên sự vụ; khai báo điều chỉnh (1: có, 0: không)</t>
  </si>
  <si>
    <t>BUSINESS_EVENT_ENTERPRISE_TYPE</t>
  </si>
  <si>
    <t>Danh mục loại: stable id của business_event - id ổn định xuyên suốt các phiên bản; stable id của enterprise_type - id ổn định xuyên suốt các phiên bản</t>
  </si>
  <si>
    <t>BUSINESS_LINE_LEVEL_1</t>
  </si>
  <si>
    <t>Lưu thông tin mã ngành nghề cấp 1; tên ngành nghề cấp 1; tình trạng (1: hiệu lực, 0: hết hiệu lực)</t>
  </si>
  <si>
    <t>BUSINESS_LINE_LEVEL_2</t>
  </si>
  <si>
    <t>Lưu thông tin mã ngành nghề cấp 2; tên ngành nghề cấp 2; stable id ngành nghề cấp 1 (tham chiếu business_line_level_1.stableid)</t>
  </si>
  <si>
    <t>OPERATIONAL_STATUS_TYPE</t>
  </si>
  <si>
    <t>Danh mục loại: mã loại trạng thái; tên loại trạng thái; yêu cầu báo cáo (1: có, 0: không)</t>
  </si>
  <si>
    <t>OPERATIONAL_STATUS_TYPE_ENTERPRISE_TYPE</t>
  </si>
  <si>
    <t>Danh mục loại: stable id của operational_status_type - id ổn định xuyên suốt các phiên bản; stable id của enterprise_type - id ổn định xuyên suốt các phiên bản</t>
  </si>
  <si>
    <t>ADMINISTRATIVE_PROCEDURE_COMPONENT</t>
  </si>
  <si>
    <t>Lưu thông tin mã thành phần tthc; tên thành phần tthc; loại tthc</t>
  </si>
  <si>
    <t>ADMINISTRATIVE_PROCEDURE</t>
  </si>
  <si>
    <t>Lưu thông tin mã tthc; tên tthc; mô tả chi tiết</t>
  </si>
  <si>
    <t>ADMINISTRATIVE_PROCEDURE_COMPONENT_MAPPING</t>
  </si>
  <si>
    <t>Lưu thông tin stable id của administrative_procedure - id ổn định xuyên suốt các phiên bản; stable id của component - id ổn định xuyên suốt các phiên bản</t>
  </si>
  <si>
    <t>SERCURITY_COMPANY</t>
  </si>
  <si>
    <t>Lưu thông tin mã công ty chứng khoán; mã chứng khoán; tên công ty</t>
  </si>
  <si>
    <t>SecurityCompany</t>
  </si>
  <si>
    <t>FUND_MANAGEMENT_COMPANY</t>
  </si>
  <si>
    <t>Lưu thông tin mã công ty quản lý quỹ; tên công ty (tiếng việt); tên công ty (tiếng anh)</t>
  </si>
  <si>
    <t>FundManagementCompany</t>
  </si>
  <si>
    <t>PRACTICE_CERTIFICATE</t>
  </si>
  <si>
    <t>Lưu thông tin tên chứng chỉ; trạng thái hoạt động (1: đang sử dụng, 0: không sử dụng); lý do hoạt động</t>
  </si>
  <si>
    <t>ORGANIZATION_TYPE</t>
  </si>
  <si>
    <t>Danh mục loại tổ chức: phân biệt nội bộ UBCKNN, tổ chức bên ngoài, và cá nhân bên ngoài</t>
  </si>
  <si>
    <t>PUBLIC_COMPANY</t>
  </si>
  <si>
    <t>Lưu thông tin mã công ty đại chúng; tên công ty (tiếng việt); tên công ty (tiếng anh)</t>
  </si>
  <si>
    <t>PublicCompany</t>
  </si>
  <si>
    <t>SHAREHOLDER_TRANSATION_TYPE</t>
  </si>
  <si>
    <t>Danh mục loại: mã loại giao dịch; tên loại giao dịch; mô tả</t>
  </si>
  <si>
    <t>APPROVED_AUDIT_FIRM</t>
  </si>
  <si>
    <t>Lưu thông tin mã công ty kiểm toán (vd: 001); tên công ty (tiếng việt); tên công ty (tiếng anh)</t>
  </si>
  <si>
    <t>AuditFirm</t>
  </si>
  <si>
    <t>APPROVED_AUDITORS</t>
  </si>
  <si>
    <t>Lưu thông tin mã kiểm toán viên; họ và tên kiểm toán viên; stable id công ty kiểm toán</t>
  </si>
  <si>
    <t>Auditor</t>
  </si>
  <si>
    <t>FOREIGN_BRANCH</t>
  </si>
  <si>
    <t>Lưu thông tin tên công ty mẹ; địa chỉ công ty mẹ; số giấy phép kinh doanh công ty mẹ</t>
  </si>
  <si>
    <t>ForeignCompany</t>
  </si>
  <si>
    <t>FOREIGN_IVESTOR_TYPE</t>
  </si>
  <si>
    <t>Danh mục loại: mã loại nhà đầu tư nước ngoài; tên loại nhà đầu tư nước ngoài; mô tả</t>
  </si>
  <si>
    <t>ACTIVITY_STATUS</t>
  </si>
  <si>
    <t>Lưu thông tin mã tình trạng hoạt động; tên tình trạng hoạt động; mô tả</t>
  </si>
  <si>
    <t>CUSTODIAN_BANK</t>
  </si>
  <si>
    <t>Ngân hàng lưu ký</t>
  </si>
  <si>
    <t>CustodianBank</t>
  </si>
  <si>
    <t>ORGANIZATION_TYPE_USER_TYPE</t>
  </si>
  <si>
    <t>Danh mục loại: loại đối tượng (1=nội bộ, 3=tổ chức ngoài, 4=cá nhân ngoài)</t>
  </si>
  <si>
    <t>PENALTY_FORM</t>
  </si>
  <si>
    <t>Lưu thông tin mã loại nhà đầu tư nước ngoài; tên loại nhà đầu tư nước ngoài; mô tả</t>
  </si>
  <si>
    <t>INSPECTION_TARGET</t>
  </si>
  <si>
    <t>Đối tượng thanh tra, kiểm tra</t>
  </si>
  <si>
    <t>PAYMENT_CUSTODIAN_BANK</t>
  </si>
  <si>
    <t>Lưu thông tin mã ngân hàng; tên tiếng việt; tên tiếng anh</t>
  </si>
  <si>
    <t>PaymentBank</t>
  </si>
  <si>
    <t>FUND_DISTRIBUTOR</t>
  </si>
  <si>
    <t>FundDistributor</t>
  </si>
  <si>
    <t>ACTIVE_STATUS</t>
  </si>
  <si>
    <t>Lưu thông tin tên trạng thái</t>
  </si>
  <si>
    <t>FOREIGN_FUND_BRANCH</t>
  </si>
  <si>
    <t>Lưu thông tin tên vpđd/chi nhánh; tên tiếng anh; tên viết tắt</t>
  </si>
  <si>
    <t>ForeignFund</t>
  </si>
  <si>
    <t>VIOLATION_TYPE</t>
  </si>
  <si>
    <t>Danh mục loại: mã loại vi phạm; tên loại vi phạm; mức tiền phạt</t>
  </si>
  <si>
    <t>PENALTY_FORM_VIOLATION_TYPE</t>
  </si>
  <si>
    <t>Danh mục loại: stable id hình thức xử phạt; stable id loại vi phạm</t>
  </si>
  <si>
    <t>UBCK_STAFF</t>
  </si>
  <si>
    <t>Lưu thông tin địa chỉ email cán bộ; họ và tên cán bộ; số định danh cá nhân</t>
  </si>
  <si>
    <t>LEGAL_DOCUMENT</t>
  </si>
  <si>
    <t>Văn bản pháp luật tham chiếu</t>
  </si>
  <si>
    <t>INVESTMENT_FUND</t>
  </si>
  <si>
    <t>Lưu thông tin mã quỹ đầu tư chứng khoán; tên tiếng việt; tên tiếng anh</t>
  </si>
  <si>
    <t>InvestmentFund</t>
  </si>
  <si>
    <t>CATEGORY</t>
  </si>
  <si>
    <t>Danh mục chung</t>
  </si>
  <si>
    <t>Giám sát CTCK (SCMS)</t>
  </si>
  <si>
    <t>CAT_ALERT</t>
  </si>
  <si>
    <t>Danh mục cảnh báo</t>
  </si>
  <si>
    <t>CAT_BUSINESS_LINE</t>
  </si>
  <si>
    <t>Danh mục ngành nghề kinh doanh</t>
  </si>
  <si>
    <t>CAT_COMPANY_TYPE</t>
  </si>
  <si>
    <t>Danh mục loại công ty</t>
  </si>
  <si>
    <t>CAT_DISTRICT</t>
  </si>
  <si>
    <t>Danh mục quận/huyện</t>
  </si>
  <si>
    <t>CAT_EVENT_TYPE</t>
  </si>
  <si>
    <t>Danh mục loại sự kiện</t>
  </si>
  <si>
    <t>CAT_INDICATOR</t>
  </si>
  <si>
    <t>Danh mục chỉ tiêu</t>
  </si>
  <si>
    <t>CAT_INDICATOR_CATALOG</t>
  </si>
  <si>
    <t>Danh mục nhóm chỉ tiêu</t>
  </si>
  <si>
    <t>CAT_INDICATOR_STATISTIC</t>
  </si>
  <si>
    <t>Danh mục chỉ tiêu thống kê</t>
  </si>
  <si>
    <t>CAT_NATIONALITY</t>
  </si>
  <si>
    <t>Danh mục quốc tịch</t>
  </si>
  <si>
    <t>CAT_POSITION</t>
  </si>
  <si>
    <t>Danh mục chức vụ</t>
  </si>
  <si>
    <t>CAT_PROFILE_STATUS</t>
  </si>
  <si>
    <t>Danh mục trạng thái hồ sơ</t>
  </si>
  <si>
    <t>CAT_PROVINCE</t>
  </si>
  <si>
    <t>Danh mục tỉnh/thành phố</t>
  </si>
  <si>
    <t>CAT_RELATIONSHIP</t>
  </si>
  <si>
    <t>Danh mục mối quan hệ</t>
  </si>
  <si>
    <t>CAT_SC_FIRM_POSITION</t>
  </si>
  <si>
    <t>Danh mục vị trí tại công ty chứng khoán</t>
  </si>
  <si>
    <t>CAT_SC_FIRM_STATUS</t>
  </si>
  <si>
    <t>Danh mục trạng thái công ty chứng khoán</t>
  </si>
  <si>
    <t>CAT_SERVICE</t>
  </si>
  <si>
    <t>Danh mục dịch vụ chứng khoán</t>
  </si>
  <si>
    <t>CAT_SERVICE_LEGAL_CAPITAL</t>
  </si>
  <si>
    <t>Danh mục vốn pháp định dịch vụ</t>
  </si>
  <si>
    <t>CAT_SHAREHOLDER_TRANSACTION_TYPE</t>
  </si>
  <si>
    <t>Danh mục loại giao dịch cổ đông</t>
  </si>
  <si>
    <t>CAT_STATISTIC</t>
  </si>
  <si>
    <t>Danh mục mã thống kê</t>
  </si>
  <si>
    <t>CAT_VIOLATION_TYPE</t>
  </si>
  <si>
    <t>Danh mục loại vi phạm</t>
  </si>
  <si>
    <t>CAT_WARD</t>
  </si>
  <si>
    <t>Danh mục phường/xã</t>
  </si>
  <si>
    <t>ALERT_FINANCIAL_INDICATOR</t>
  </si>
  <si>
    <t>Chỉ tiêu tài chính cảnh báo</t>
  </si>
  <si>
    <t>Nghiệp vụ</t>
  </si>
  <si>
    <t>ALERT_INDICATOR</t>
  </si>
  <si>
    <t>Chỉ tiêu cảnh báo</t>
  </si>
  <si>
    <t>ALERT_INDICATOR_CONDITION</t>
  </si>
  <si>
    <t>Điều kiện kích hoạt cảnh báo chỉ tiêu</t>
  </si>
  <si>
    <t>ALERT_RUN</t>
  </si>
  <si>
    <t>Lần chạy cảnh báo</t>
  </si>
  <si>
    <t>AUDITOR</t>
  </si>
  <si>
    <t>Kiểm toán viên</t>
  </si>
  <si>
    <t>BANK</t>
  </si>
  <si>
    <t>Thông tin ngân hàng: tên, mã, địa chỉ, trạng thái hoạt động</t>
  </si>
  <si>
    <t>BANK_PERIODIC_REPORT</t>
  </si>
  <si>
    <t>Báo cáo định kỳ ngân hàng</t>
  </si>
  <si>
    <t>DISCLOSURE_NEWS</t>
  </si>
  <si>
    <t>Tin tức công bố thông tin</t>
  </si>
  <si>
    <t>DISCLOSURE_NEWS_FILE</t>
  </si>
  <si>
    <t>Tệp đính kèm tin tức CBTT</t>
  </si>
  <si>
    <t>DISCLOSURE_REPORT</t>
  </si>
  <si>
    <t>Báo cáo công bố thông tin</t>
  </si>
  <si>
    <t>DISCLOSURE_SECURITIES_OFFERING</t>
  </si>
  <si>
    <t>Thông tin chào bán chứng khoán</t>
  </si>
  <si>
    <t>DISCLOSURE_SHAREHOLDER</t>
  </si>
  <si>
    <t>Thông tin cổ đông công bố</t>
  </si>
  <si>
    <t>SC_FIRM_ADHOC_REPORT</t>
  </si>
  <si>
    <t>Báo cáo đột xuất công ty chứng khoán</t>
  </si>
  <si>
    <t>SC_FIRM_ADMIN_PENALTY_DECISION</t>
  </si>
  <si>
    <t>Quyết định xử phạt hành chính</t>
  </si>
  <si>
    <t>SC_FIRM_ADMIN_SANCTION</t>
  </si>
  <si>
    <t>Xử lý hành chính công ty chứng khoán</t>
  </si>
  <si>
    <t>SC_FIRM_ALERT_VIOLATION</t>
  </si>
  <si>
    <t>Cảnh báo vi phạm công ty chứng khoán</t>
  </si>
  <si>
    <t>SC_FIRM_BRANCH</t>
  </si>
  <si>
    <t>Chi nhánh của công ty chứng khoán</t>
  </si>
  <si>
    <t>SC_FIRM_COMPLAINT_PETITION</t>
  </si>
  <si>
    <t>Khiếu nại, kiến nghị công ty chứng khoán</t>
  </si>
  <si>
    <t>SC_FIRM_DOMESTIC_REP_OFFICE</t>
  </si>
  <si>
    <t>Văn phòng đại diện trong nước</t>
  </si>
  <si>
    <t>SC_FIRM_FOREIGN_BRANCH</t>
  </si>
  <si>
    <t>Chi nhánh nước ngoài</t>
  </si>
  <si>
    <t>SC_FIRM_FOREIGN_BRANCH_PERIODIC_REPORT</t>
  </si>
  <si>
    <t>Báo cáo định kỳ chi nhánh nước ngoài</t>
  </si>
  <si>
    <t>SC_FIRM_FOREIGN_BRANCH_PERSONNEL</t>
  </si>
  <si>
    <t>Nhân sự chi nhánh nước ngoài</t>
  </si>
  <si>
    <t>SC_FIRM_FOREIGN_REP_OFFICE</t>
  </si>
  <si>
    <t>Văn phòng đại diện nước ngoài</t>
  </si>
  <si>
    <t>SC_FIRM_FOREIGN_REP_OFFICE_PERIODIC_REPORT</t>
  </si>
  <si>
    <t>Báo cáo định kỳ văn phòng đại diện nước ngoài</t>
  </si>
  <si>
    <t>SC_FIRM_FOREIGN_REP_OFFICE_PERSONNEL</t>
  </si>
  <si>
    <t>Nhân sự văn phòng đại diện nước ngoài</t>
  </si>
  <si>
    <t>SC_FIRM_FOREIGN_REP_OFFICE_VN</t>
  </si>
  <si>
    <t>Văn phòng đại diện nước ngoài tại Việt Nam</t>
  </si>
  <si>
    <t>SC_FIRM_INFO</t>
  </si>
  <si>
    <t>Thông tin công ty chứng khoán</t>
  </si>
  <si>
    <t>SC_FIRM_INSIDER_RELATION</t>
  </si>
  <si>
    <t>Quan hệ người nội bộ công ty chứng khoán</t>
  </si>
  <si>
    <t>SC_FIRM_INSPECTION_SCHEDULE</t>
  </si>
  <si>
    <t>Lịch kiểm tra công ty chứng khoán</t>
  </si>
  <si>
    <t>SC_FIRM_LICENSED_PRACTITIONER</t>
  </si>
  <si>
    <t>Người hành nghề chứng khoán</t>
  </si>
  <si>
    <t>SC_FIRM_MAJOR_SHAREHOLDER_RELATION</t>
  </si>
  <si>
    <t>Quan hệ cổ đông lớn</t>
  </si>
  <si>
    <t>SC_FIRM_OWNERSHIP_RELATION</t>
  </si>
  <si>
    <t>Quan hệ sở hữu công ty chứng khoán</t>
  </si>
  <si>
    <t>SC_FIRM_PERIODIC_REPORT</t>
  </si>
  <si>
    <t>Báo cáo định kỳ công ty chứng khoán</t>
  </si>
  <si>
    <t>SC_FIRM_PROFILE_CHANGE</t>
  </si>
  <si>
    <t>Thay đổi hồ sơ công ty chứng khoán</t>
  </si>
  <si>
    <t>SC_FIRM_RELATED_PERSON</t>
  </si>
  <si>
    <t>Người liên quan công ty chứng khoán</t>
  </si>
  <si>
    <t>SC_FIRM_REP_OFFICE</t>
  </si>
  <si>
    <t>SC_FIRM_SENIOR_PERSONNEL</t>
  </si>
  <si>
    <t>Nhân sự cao cấp công ty chứng khoán</t>
  </si>
  <si>
    <t>SC_FIRM_SERVICE</t>
  </si>
  <si>
    <t>Dịch vụ của công ty chứng khoán</t>
  </si>
  <si>
    <t>SC_FIRM_SHAREHOLDER</t>
  </si>
  <si>
    <t>Cổ đông của công ty chứng khoán</t>
  </si>
  <si>
    <t>SC_FIRM_SHAREHOLDER_OWNERSHIP_CHANGE</t>
  </si>
  <si>
    <t>Thay đổi sở hữu cổ đông</t>
  </si>
  <si>
    <t>SC_FIRM_SHAREHOLDER_RELATION</t>
  </si>
  <si>
    <t>Quan hệ cổ đông</t>
  </si>
  <si>
    <t>SC_FIRM_SHAREHOLDER_REPRESENTATIVE</t>
  </si>
  <si>
    <t>Người đại diện cổ đông</t>
  </si>
  <si>
    <t>SC_FIRM_SHAREHOLDER_TRANSFER</t>
  </si>
  <si>
    <t>Chuyển nhượng cổ phần</t>
  </si>
  <si>
    <t>SC_FIRM_TRANSACTION_OFFICE</t>
  </si>
  <si>
    <t>Phòng giao dịch của công ty chứng khoán</t>
  </si>
  <si>
    <t>DOCUMENT_FOLDER</t>
  </si>
  <si>
    <t>Thư mục tài liệu</t>
  </si>
  <si>
    <t>DOCUMENT_STORAGE</t>
  </si>
  <si>
    <t>Lưu trữ tài liệu</t>
  </si>
  <si>
    <t>FORM_INDICATOR_DATA_SOURCE</t>
  </si>
  <si>
    <t>Nguồn dữ liệu chỉ tiêu biểu mẫu</t>
  </si>
  <si>
    <t>FORM_INDICATOR_FIELD_META</t>
  </si>
  <si>
    <t>Metadata trường chỉ tiêu biểu mẫu</t>
  </si>
  <si>
    <t>FORM_INDICATOR_INPUT</t>
  </si>
  <si>
    <t>Dữ liệu nhập chỉ tiêu biểu mẫu</t>
  </si>
  <si>
    <t>FORM_INDICATOR_REFERENCE_VALUE</t>
  </si>
  <si>
    <t>Giá trị tham chiếu chỉ tiêu biểu mẫu</t>
  </si>
  <si>
    <t>FORM_REPORT</t>
  </si>
  <si>
    <t>Biểu mẫu báo cáo</t>
  </si>
  <si>
    <t>FORM_REPORT_DEEP_CONFIG</t>
  </si>
  <si>
    <t>Cấu hình chi tiết biểu mẫu báo cáo</t>
  </si>
  <si>
    <t>FORM_REPORT_PERIODIC</t>
  </si>
  <si>
    <t>Kỳ báo cáo của biểu mẫu</t>
  </si>
  <si>
    <t>FORM_ROW_HEADER</t>
  </si>
  <si>
    <t>Tiêu đề hàng biểu mẫu</t>
  </si>
  <si>
    <t>FORM_ROW_HEADER_COLUMN</t>
  </si>
  <si>
    <t>Cột tiêu đề hàng biểu mẫu</t>
  </si>
  <si>
    <t>FORM_SHEET</t>
  </si>
  <si>
    <t>Sheet của biểu mẫu báo cáo</t>
  </si>
  <si>
    <t>FORM_SHEET_CELL</t>
  </si>
  <si>
    <t>Ô dữ liệu trong sheet biểu mẫu</t>
  </si>
  <si>
    <t>FORM_SHEET_COLUMN</t>
  </si>
  <si>
    <t>Cột dữ liệu trong sheet biểu mẫu</t>
  </si>
  <si>
    <t>FORM_SHEET_ROW</t>
  </si>
  <si>
    <t>Hàng dữ liệu trong sheet biểu mẫu</t>
  </si>
  <si>
    <t>LNK_EVENT_TYPE_FORM</t>
  </si>
  <si>
    <t>Liên kết loại sự kiện và biểu mẫu</t>
  </si>
  <si>
    <t>LNK_PRACTITIONER_BUSINESS_LINE</t>
  </si>
  <si>
    <t>Liên kết người hành nghề và ngành nghề</t>
  </si>
  <si>
    <t>LNK_SC_FIRM_BUSINESS_LINE</t>
  </si>
  <si>
    <t>Liên kết CTCK và ngành nghề kinh doanh</t>
  </si>
  <si>
    <t>LNK_SC_FIRM_FOREIGN_BRANCH_SERVICE</t>
  </si>
  <si>
    <t>Liên kết chi nhánh nước ngoài và dịch vụ</t>
  </si>
  <si>
    <t>LNK_SC_FIRM_REPORT</t>
  </si>
  <si>
    <t>Liên kết công ty chứng khoán và báo cáo</t>
  </si>
  <si>
    <t>LNK_SC_FIRM_SERVICE</t>
  </si>
  <si>
    <t>Liên kết công ty chứng khoán và dịch vụ</t>
  </si>
  <si>
    <t>LNK_SC_FIRM_STATUS_REPORT</t>
  </si>
  <si>
    <t>Liên kết trạng thái CTCK và báo cáo</t>
  </si>
  <si>
    <t>LNK_SERVICE_SC_FIRM_REPORT</t>
  </si>
  <si>
    <t>Liên kết dịch vụ, CTCK và báo cáo</t>
  </si>
  <si>
    <t>LNK_TRANSACTION_OFFICE_SERVICE</t>
  </si>
  <si>
    <t>Liên kết phòng giao dịch và dịch vụ</t>
  </si>
  <si>
    <t>LNK_USER_BANK</t>
  </si>
  <si>
    <t>Liên kết người dùng và ngân hàng</t>
  </si>
  <si>
    <t>LNK_USER_GROUP</t>
  </si>
  <si>
    <t>Liên kết người dùng và nhóm</t>
  </si>
  <si>
    <t>LNK_USER_GROUP_REPORT</t>
  </si>
  <si>
    <t>Liên kết nhóm người dùng và báo cáo</t>
  </si>
  <si>
    <t>LNK_USER_REPORT</t>
  </si>
  <si>
    <t>Liên kết người dùng và báo cáo</t>
  </si>
  <si>
    <t>LNK_USER_SC_FIRM</t>
  </si>
  <si>
    <t>Liên kết người dùng và công ty chứng khoán</t>
  </si>
  <si>
    <t>RISK_INDICATOR</t>
  </si>
  <si>
    <t>Chỉ tiêu quản lý rủi ro</t>
  </si>
  <si>
    <t>RISK_INDICATOR_GROUP</t>
  </si>
  <si>
    <t>Nhóm chỉ tiêu rủi ro</t>
  </si>
  <si>
    <t>RISK_REPORTING_PERIOD</t>
  </si>
  <si>
    <t>Kỳ báo cáo rủi ro</t>
  </si>
  <si>
    <t>RISK_REPORTING_PERIOD_SC_FIRM</t>
  </si>
  <si>
    <t>Kỳ báo cáo rủi ro theo công ty chứng khoán</t>
  </si>
  <si>
    <t>RISK_SCORING_SCALE</t>
  </si>
  <si>
    <t>Thang điểm đánh giá rủi ro</t>
  </si>
  <si>
    <t>RISK_SCORING_SC_FIRM_DETAIL</t>
  </si>
  <si>
    <t>Chi tiết điểm rủi ro công ty chứng khoán</t>
  </si>
  <si>
    <t>RISK_SUMMARY</t>
  </si>
  <si>
    <t>Tổng hợp rủi ro</t>
  </si>
  <si>
    <t>RISK_SUMMARY_DETAIL</t>
  </si>
  <si>
    <t>Chi tiết tổng hợp rủi ro</t>
  </si>
  <si>
    <t>MEMBER_REPORT</t>
  </si>
  <si>
    <t>Báo cáo định kỳ của đơn vị thành viên</t>
  </si>
  <si>
    <t>MEMBER_REPORT_PROCESSING</t>
  </si>
  <si>
    <t>Xử lý báo cáo của đơn vị thành viên</t>
  </si>
  <si>
    <t>OUTPUT_REPORT_EXTRACTION</t>
  </si>
  <si>
    <t>Trích xuất báo cáo đầu ra</t>
  </si>
  <si>
    <t>OUTPUT_REPORT_EXTRACTION_VALUE</t>
  </si>
  <si>
    <t>Giá trị trích xuất báo cáo đầu ra</t>
  </si>
  <si>
    <t>REPORT_CELL_VALUE</t>
  </si>
  <si>
    <t>Giá trị ô trong báo cáo</t>
  </si>
  <si>
    <t>REPORT_DYNAMIC_ROW_VALUE</t>
  </si>
  <si>
    <t>Giá trị hàng động trong báo cáo</t>
  </si>
  <si>
    <t>REPORT_INPUT_CELL_VALUE</t>
  </si>
  <si>
    <t>Giá trị ô nhập liệu báo cáo</t>
  </si>
  <si>
    <t>REPORT_INPUT_SUBMISSION</t>
  </si>
  <si>
    <t>Lần nộp báo cáo nhập liệu</t>
  </si>
  <si>
    <t>REPORT_INPUT_SUBMISSION_FILE</t>
  </si>
  <si>
    <t>Tệp đính kèm nộp báo cáo</t>
  </si>
  <si>
    <t>REPORT_VIOLATION</t>
  </si>
  <si>
    <t>Vi phạm trong báo cáo</t>
  </si>
  <si>
    <t>BANK_HISTORY</t>
  </si>
  <si>
    <t>Lịch sử ngân hàng</t>
  </si>
  <si>
    <t>Lịch sử</t>
  </si>
  <si>
    <t>BANK_PERIODIC_REPORT_HISTORY</t>
  </si>
  <si>
    <t>Lịch sử báo cáo định kỳ ngân hàng</t>
  </si>
  <si>
    <t>SC_FIRM_ADHOC_REPORT_HISTORY</t>
  </si>
  <si>
    <t>Lịch sử báo cáo đột xuất</t>
  </si>
  <si>
    <t>SC_FIRM_DELETION_HISTORY</t>
  </si>
  <si>
    <t>Lịch sử xóa hồ sơ công ty chứng khoán</t>
  </si>
  <si>
    <t>SC_FIRM_FOREIGN_BRANCH_HISTORY</t>
  </si>
  <si>
    <t>Lịch sử chi nhánh nước ngoài</t>
  </si>
  <si>
    <t>SC_FIRM_FOREIGN_BRANCH_PERSONNEL_HISTORY</t>
  </si>
  <si>
    <t>Lịch sử nhân sự chi nhánh nước ngoài</t>
  </si>
  <si>
    <t>SC_FIRM_FOREIGN_REP_OFFICE_HISTORY</t>
  </si>
  <si>
    <t>Lịch sử văn phòng đại diện nước ngoài</t>
  </si>
  <si>
    <t>SC_FIRM_INSIDER_RELATION_HISTORY</t>
  </si>
  <si>
    <t>Lịch sử quan hệ người nội bộ</t>
  </si>
  <si>
    <t>SC_FIRM_PERIODIC_REPORT_HISTORY</t>
  </si>
  <si>
    <t>Lịch sử báo cáo định kỳ công ty chứng khoán</t>
  </si>
  <si>
    <t>SC_FIRM_PROFILE_HISTORY</t>
  </si>
  <si>
    <t>Lịch sử hồ sơ công ty chứng khoán</t>
  </si>
  <si>
    <t>FORM_REPORT_HISTORY</t>
  </si>
  <si>
    <t>Lịch sử biểu mẫu báo cáo</t>
  </si>
  <si>
    <t>MEMBER_REPORT_HISTORY</t>
  </si>
  <si>
    <t>Lịch sử báo cáo của đơn vị thành viên</t>
  </si>
  <si>
    <t>AGENCY_TYPE</t>
  </si>
  <si>
    <t>Danh mục loại đại lý phân phối</t>
  </si>
  <si>
    <t>Giám sát CT QLQ &amp; Quỹ ĐT (FMS)</t>
  </si>
  <si>
    <t>BUSINESS</t>
  </si>
  <si>
    <t>BUSINESS_TYPE</t>
  </si>
  <si>
    <t>Danh mục loại hình kinh doanh</t>
  </si>
  <si>
    <t>COMPANY_TYPE</t>
  </si>
  <si>
    <t>Danh mục loại hình công ty</t>
  </si>
  <si>
    <t>LOCATION</t>
  </si>
  <si>
    <t>Danh sách tỉnh/thành phố</t>
  </si>
  <si>
    <t>NATIONAL</t>
  </si>
  <si>
    <t>Danh sách quốc gia/quốc tịch</t>
  </si>
  <si>
    <t>RELATION</t>
  </si>
  <si>
    <t>Danh mục mối quan hệ giữa các bên</t>
  </si>
  <si>
    <t>STATUS</t>
  </si>
  <si>
    <t>Danh mục trạng thái hoạt động</t>
  </si>
  <si>
    <t>STOCKHOLDER_TYPE</t>
  </si>
  <si>
    <t>Danh mục loại hình nhà đầu tư/cổ đông</t>
  </si>
  <si>
    <t>DT_SCOPE</t>
  </si>
  <si>
    <t>Phân quyền dữ liệu – phạm vi truy cập</t>
  </si>
  <si>
    <t>DT_SC_SEC</t>
  </si>
  <si>
    <t>Phân quyền dữ liệu công ty QLQ cho chuyên viên</t>
  </si>
  <si>
    <t>JOB_TYPE</t>
  </si>
  <si>
    <t>Danh mục loại chức vụ</t>
  </si>
  <si>
    <t>SECURITIES</t>
  </si>
  <si>
    <t>Danh sách công ty QLQ trong nước</t>
  </si>
  <si>
    <t>SEC_BUP</t>
  </si>
  <si>
    <t>Lịch sử chi tiết công ty QLQ (2 bản ghi trước/sau)</t>
  </si>
  <si>
    <t>SEC_BUSINESS</t>
  </si>
  <si>
    <t>Ngành nghề kinh doanh của công ty QLQ</t>
  </si>
  <si>
    <t>SEC_FUND_MANAGER</t>
  </si>
  <si>
    <t>Ánh xạ người quản lý quỹ và công ty QLQ</t>
  </si>
  <si>
    <t>BRANCHS</t>
  </si>
  <si>
    <t>Danh sách CN/VPĐD công ty QLQ trong nước</t>
  </si>
  <si>
    <t>BRA_BUSINESS</t>
  </si>
  <si>
    <t>Ngành nghề kinh doanh của CN/VPĐD công ty QLQ</t>
  </si>
  <si>
    <t>BRCH_BUP</t>
  </si>
  <si>
    <t>Lịch sử chi tiết CN/VPĐD công ty QLQ trong nước</t>
  </si>
  <si>
    <t>FOR_BRCH</t>
  </si>
  <si>
    <t>Danh sách VPĐD/CN công ty QLQ NN tại VN</t>
  </si>
  <si>
    <t>FG_BR_BUP</t>
  </si>
  <si>
    <t>Lịch sử chi tiết VPĐD/CN công ty QLQ NN tại VN</t>
  </si>
  <si>
    <t>FG_BUSINESS</t>
  </si>
  <si>
    <t>Ngành nghề kinh doanh VPĐD/CN công ty QLQ NN tại VN</t>
  </si>
  <si>
    <t>DT_SC_BMN</t>
  </si>
  <si>
    <t>Phân quyền dữ liệu ngân hàng LKGS cho chuyên viên</t>
  </si>
  <si>
    <t>DT_SC_FR</t>
  </si>
  <si>
    <t>Phân quyền dữ liệu VPĐD/CN công ty QLQ NN cho chuyên viên</t>
  </si>
  <si>
    <t>FUNDS</t>
  </si>
  <si>
    <t>Danh sách quỹ đầu tư chứng khoán</t>
  </si>
  <si>
    <t>FUND_BUP</t>
  </si>
  <si>
    <t>Bản ghi chi tiết lịch sử quỹ đầu tư</t>
  </si>
  <si>
    <t>FUND_TL_PRO</t>
  </si>
  <si>
    <t>Bảng trung gian quỹ đầu tư và hồ sơ nhân sự</t>
  </si>
  <si>
    <t>FUD_AG_AGT</t>
  </si>
  <si>
    <t>Bảng trung gian quỹ đầu tư, đại lý và đại lý chuyển nhượng</t>
  </si>
  <si>
    <t>AGEN_FUNDS</t>
  </si>
  <si>
    <t>Bảng trung gian ánh xạ đại lý và quỹ đầu tư</t>
  </si>
  <si>
    <t>AGEN_TF_MBF</t>
  </si>
  <si>
    <t>Bảng trung gian ánh xạ đại lý và giao dịch CCQ</t>
  </si>
  <si>
    <t>FUD_TAGT</t>
  </si>
  <si>
    <t>Bảng trung gian quỹ đầu tư và đại lý chuyển nhượng</t>
  </si>
  <si>
    <t>DT_SC_FND</t>
  </si>
  <si>
    <t>Phân quyền dữ liệu quỹ đầu tư cho chuyên viên</t>
  </si>
  <si>
    <t>OFFERING</t>
  </si>
  <si>
    <t>Danh sách đợt phát hành chứng chỉ quỹ</t>
  </si>
  <si>
    <t>OFFERING_PLAN</t>
  </si>
  <si>
    <t>Kế hoạch phát hành chứng chỉ quỹ</t>
  </si>
  <si>
    <t>AGENCIES</t>
  </si>
  <si>
    <t>Danh sách đại lý Quỹ đầu tư</t>
  </si>
  <si>
    <t>AGENCIES_BRA</t>
  </si>
  <si>
    <t>Danh sách CN/PGD của đại lý Quỹ đầu tư</t>
  </si>
  <si>
    <t>DT_SC_AGENCY</t>
  </si>
  <si>
    <t>Phân quyền dữ liệu đại lý cho chuyên viên</t>
  </si>
  <si>
    <t>BANK_EMPLOY</t>
  </si>
  <si>
    <t>Danh sách nhân sự ngân hàng lưu ký giám sát</t>
  </si>
  <si>
    <t>BANK_MONI</t>
  </si>
  <si>
    <t>Danh sách ngân hàng lưu ký giám sát (LKGS)</t>
  </si>
  <si>
    <t>MB_FUND</t>
  </si>
  <si>
    <t>Danh sách nhà đầu tư góp vốn quỹ</t>
  </si>
  <si>
    <t>MB_CHANGE</t>
  </si>
  <si>
    <t>Lịch sử thay đổi vốn góp nhà đầu tư quỹ</t>
  </si>
  <si>
    <t>TRANSFER_MBF</t>
  </si>
  <si>
    <t>Danh sách giao dịch mua/bán chứng chỉ quỹ</t>
  </si>
  <si>
    <t>INVES</t>
  </si>
  <si>
    <t>Danh sách nhà đầu tư ủy thác</t>
  </si>
  <si>
    <t>INVES_ACC</t>
  </si>
  <si>
    <t>Danh sách tài khoản nhà đầu tư ủy thác</t>
  </si>
  <si>
    <t>INSIDER</t>
  </si>
  <si>
    <t>Danh sách người nội bộ</t>
  </si>
  <si>
    <t>INSDER_RELA</t>
  </si>
  <si>
    <t>Danh sách mối quan hệ người nội bộ</t>
  </si>
  <si>
    <t>INSDER_RPRST</t>
  </si>
  <si>
    <t>Danh sách người đại diện nội bộ</t>
  </si>
  <si>
    <t>INSID_CHANGE</t>
  </si>
  <si>
    <t>Lịch sử thay đổi thông tin người nội bộ</t>
  </si>
  <si>
    <t>TRS_FER_INDER</t>
  </si>
  <si>
    <t>Danh sách giao dịch chuyển nhượng cổ phần nội bộ</t>
  </si>
  <si>
    <t>STAKE</t>
  </si>
  <si>
    <t>Danh sách cổ đông/bên liên quan</t>
  </si>
  <si>
    <t>REPRESENT</t>
  </si>
  <si>
    <t>Danh sách ban đại diện/HĐQT Quỹ đầu tư</t>
  </si>
  <si>
    <t>TL_PROFILES</t>
  </si>
  <si>
    <t>Danh sách hồ sơ nhân sự công ty QLQ</t>
  </si>
  <si>
    <t>TL_PRO_BUP</t>
  </si>
  <si>
    <t>Chi tiết lịch sử hồ sơ nhân sự (2 bản ghi trước/sau)</t>
  </si>
  <si>
    <t>TL_PRO_RELA</t>
  </si>
  <si>
    <t>Mối quan hệ giữa các hồ sơ nhân sự</t>
  </si>
  <si>
    <t>STF_FG_BRCH</t>
  </si>
  <si>
    <t>Danh sách nhân sự VPĐD/CN công ty QLQ NN</t>
  </si>
  <si>
    <t>JOB_TL_PRO</t>
  </si>
  <si>
    <t>Bảng trung gian hồ sơ nhân sự và chức danh</t>
  </si>
  <si>
    <t>FUND_REPORT</t>
  </si>
  <si>
    <t>Thiết lập hiển thị báo cáo quỹ đầu tư</t>
  </si>
  <si>
    <t>INVES_REPORT</t>
  </si>
  <si>
    <t>Thiết lập hiển thị báo cáo nhà đầu tư</t>
  </si>
  <si>
    <t>SECURITIES_REPORT</t>
  </si>
  <si>
    <t>Thiết lập hiển thị báo cáo công ty QLQ</t>
  </si>
  <si>
    <t>REPORT_ATTACHMENT</t>
  </si>
  <si>
    <t>File đính kèm của báo cáo</t>
  </si>
  <si>
    <t>REPORT_FILE</t>
  </si>
  <si>
    <t>File báo cáo đã tải lên</t>
  </si>
  <si>
    <t>RPT_MB_HS</t>
  </si>
  <si>
    <t>Lịch sử báo cáo thành viên</t>
  </si>
  <si>
    <t>RPT_MEMBER</t>
  </si>
  <si>
    <t>Báo cáo định kỳ của thành viên thị trường</t>
  </si>
  <si>
    <t>RPT_PD_SHT</t>
  </si>
  <si>
    <t>Bảng trung gian kỳ báo cáo và sheet</t>
  </si>
  <si>
    <t>RPT_PERIOD</t>
  </si>
  <si>
    <t>Danh sách kỳ báo cáo</t>
  </si>
  <si>
    <t>RPT_PROCESS</t>
  </si>
  <si>
    <t>Lịch sử xử lý báo cáo thành viên</t>
  </si>
  <si>
    <t>RPT_TEMP</t>
  </si>
  <si>
    <t>Danh sách biểu mẫu báo cáo đầu vào</t>
  </si>
  <si>
    <t>RPT_TP_OUT</t>
  </si>
  <si>
    <t>Danh sách biểu mẫu báo cáo đầu ra</t>
  </si>
  <si>
    <t>RPT_VALUES</t>
  </si>
  <si>
    <t>Dữ liệu giá trị báo cáo nhập từ tệp</t>
  </si>
  <si>
    <t>SHEET</t>
  </si>
  <si>
    <t>Danh sách sheet biểu mẫu báo cáo đầu vào</t>
  </si>
  <si>
    <t>SHEET_OUT</t>
  </si>
  <si>
    <t>Danh sách sheet báo cáo đầu ra</t>
  </si>
  <si>
    <t>ST_TRGT_OUT</t>
  </si>
  <si>
    <t>Cấu hình lấy dữ liệu báo cáo đầu ra</t>
  </si>
  <si>
    <t>TOT_ST_TG</t>
  </si>
  <si>
    <t>Bảng trung gian cấu hình dữ liệu đầu ra với ô dữ liệu</t>
  </si>
  <si>
    <t>FACTOR</t>
  </si>
  <si>
    <t>Danh sách nhân tố đánh giá xếp loại</t>
  </si>
  <si>
    <t>FACTOR_SNAPSHOT</t>
  </si>
  <si>
    <t>Ảnh chụp kết quả nhân tố tại thời điểm đánh giá</t>
  </si>
  <si>
    <t>FTOR_SCALE</t>
  </si>
  <si>
    <t>Thang điểm đánh giá xếp loại theo nhân tố</t>
  </si>
  <si>
    <t>GRP_FACTOR</t>
  </si>
  <si>
    <t>Bảng trung gian nhóm nhân tố đánh giá</t>
  </si>
  <si>
    <t>RANK</t>
  </si>
  <si>
    <t>Bảng xếp hạng theo kỳ đánh giá</t>
  </si>
  <si>
    <t>RATING_PD</t>
  </si>
  <si>
    <t>Danh sách kỳ đánh giá xếp loại</t>
  </si>
  <si>
    <t>RATING_PD_SNAPSHOT</t>
  </si>
  <si>
    <t>Ảnh chụp kết quả kỳ đánh giá xếp loại</t>
  </si>
  <si>
    <t>RNK_FACTOR</t>
  </si>
  <si>
    <t>Bảng chấm điểm đánh giá xếp loại (nhân tố cha/con)</t>
  </si>
  <si>
    <t>RNK_GR_FTOR</t>
  </si>
  <si>
    <t>Bảng trung gian xếp loại và nhóm nhân tố</t>
  </si>
  <si>
    <t>VIOLT</t>
  </si>
  <si>
    <t>Danh sách vi phạm đã ghi nhận</t>
  </si>
  <si>
    <t>ANNOUNCE</t>
  </si>
  <si>
    <t>Danh sách thông báo/công bố thông tin</t>
  </si>
  <si>
    <t>CONFIG</t>
  </si>
  <si>
    <t>Cấu hình chung của hệ thống</t>
  </si>
  <si>
    <t>CONFIG_CONVERT_DATA</t>
  </si>
  <si>
    <t>Cấu hình chuyển đổi/migration dữ liệu</t>
  </si>
  <si>
    <t>DT_SC_AUDIT_FIRM</t>
  </si>
  <si>
    <t>Phân quyền dữ liệu công ty kiểm toán cho chuyên viên</t>
  </si>
  <si>
    <t>DISTRIBUTOR_AGENT</t>
  </si>
  <si>
    <t>Danh sách đại lý phân phối</t>
  </si>
  <si>
    <t>DISTRIBUTOR_LOCATION</t>
  </si>
  <si>
    <t>Địa điểm hoạt động của đại lý phân phối</t>
  </si>
  <si>
    <t>DISTRIBUTOR_PERSONNEL</t>
  </si>
  <si>
    <t>Nhân sự của đại lý phân phối</t>
  </si>
  <si>
    <t>DT_SC_DISTRIBUTOR_AGENT</t>
  </si>
  <si>
    <t>Phân quyền dữ liệu đại lý phân phối cho chuyên viên</t>
  </si>
  <si>
    <t>OTHER_AGENT</t>
  </si>
  <si>
    <t>Danh sách đại lý khác (ngoài phân phối và chuyển nhượng)</t>
  </si>
  <si>
    <t>DT_SC_OTHER_AGENT</t>
  </si>
  <si>
    <t>Phân quyền dữ liệu đại lý khác cho chuyên viên</t>
  </si>
  <si>
    <t>PENSION_AGENT</t>
  </si>
  <si>
    <t>Danh sách đại lý quỹ hưu trí</t>
  </si>
  <si>
    <t>PENSION_FUND</t>
  </si>
  <si>
    <t>Danh sách quỹ hưu trí</t>
  </si>
  <si>
    <t>PENSION_PROVIDER</t>
  </si>
  <si>
    <t>Danh sách nhà cung cấp dịch vụ quỹ hưu trí</t>
  </si>
  <si>
    <t>DT_SC_PENSION_AGENT</t>
  </si>
  <si>
    <t>Phân quyền dữ liệu đại lý quỹ hưu trí cho chuyên viên</t>
  </si>
  <si>
    <t>DT_SC_PENSION_FUND</t>
  </si>
  <si>
    <t>Phân quyền dữ liệu quỹ hưu trí cho chuyên viên</t>
  </si>
  <si>
    <t>DT_SC_PENSION_PROVIDER</t>
  </si>
  <si>
    <t>Phân quyền dữ liệu nhà cung cấp quỹ hưu trí cho chuyên viên</t>
  </si>
  <si>
    <t>TRANSFER_AGENT</t>
  </si>
  <si>
    <t>Danh sách đại lý chuyển nhượng quỹ hưu trí</t>
  </si>
  <si>
    <t>DT_SC_TRANSFER_AGENT</t>
  </si>
  <si>
    <t>Phân quyền dữ liệu đại lý chuyển nhượng cho chuyên viên</t>
  </si>
  <si>
    <t>INSPECTION_PENALTY_DECISION</t>
  </si>
  <si>
    <t>Quyết định xử phạt thanh tra</t>
  </si>
  <si>
    <t>INSPECTION_ROUND</t>
  </si>
  <si>
    <t>Đợt thanh tra, kiểm tra</t>
  </si>
  <si>
    <t>SEC_HISTORY</t>
  </si>
  <si>
    <t>Lịch sử thông tin công ty QLQ</t>
  </si>
  <si>
    <t>FG_BR_HISTORY</t>
  </si>
  <si>
    <t>Lịch sử VPĐD/CN công ty QLQ nước ngoài tại VN</t>
  </si>
  <si>
    <t>FUND_HISTORY</t>
  </si>
  <si>
    <t>Lịch sử thông tin quỹ đầu tư</t>
  </si>
  <si>
    <t>BANK_EMPLOY_HISTORY</t>
  </si>
  <si>
    <t>Lịch sử thay đổi nhân sự ngân hàng LKGS</t>
  </si>
  <si>
    <t>INSDER_RELA_CHG_LOG</t>
  </si>
  <si>
    <t>Nhật ký thay đổi mối quan hệ người nội bộ</t>
  </si>
  <si>
    <t>INSIDER_CHG_LOG</t>
  </si>
  <si>
    <t>Nhật ký thay đổi thông tin người nội bộ</t>
  </si>
  <si>
    <t>TRS_FER_INDER_CHG_LOG</t>
  </si>
  <si>
    <t>Nhật ký thay đổi giao dịch chuyển nhượng cổ phần</t>
  </si>
  <si>
    <t>TL_PR_HISTORY</t>
  </si>
  <si>
    <t>Lịch sử thay đổi hồ sơ nhân sự</t>
  </si>
  <si>
    <t>STF_FG_BRCH_HISTORY</t>
  </si>
  <si>
    <t>Lịch sử nhân sự VPĐD/CN công ty QLQ NN</t>
  </si>
  <si>
    <t>STF_REP_OFFICE_HISTORY</t>
  </si>
  <si>
    <t>Lịch sử nhân sự văn phòng đại diện</t>
  </si>
  <si>
    <t>RPT_HTORY</t>
  </si>
  <si>
    <t>Lịch sử thay đổi báo cáo đầu vào</t>
  </si>
  <si>
    <t>TP_OUT_HTORY</t>
  </si>
  <si>
    <t>Lịch sử thay đổi báo cáo đầu ra</t>
  </si>
  <si>
    <t>RNK_FACT_HISTORY</t>
  </si>
  <si>
    <t>Lưu kết quả các lần lưu bảng tổng hợp đánh giá</t>
  </si>
  <si>
    <t>DISTRIBUTOR_AGENT_HISTORY</t>
  </si>
  <si>
    <t>Lịch sử thông tin đại lý phân phối</t>
  </si>
  <si>
    <t>OTHER_AGENT_HISTORY</t>
  </si>
  <si>
    <t>Lịch sử thông tin đại lý khác</t>
  </si>
  <si>
    <t>PENSION_AGENT_HISTORY</t>
  </si>
  <si>
    <t>Lịch sử thông tin đại lý quỹ hưu trí</t>
  </si>
  <si>
    <t>PENSION_PROVIDER_HISTORY</t>
  </si>
  <si>
    <t>Lịch sử thông tin nhà cung cấp quỹ hưu trí</t>
  </si>
  <si>
    <t>TRANSFER_AGENT_HISTORY</t>
  </si>
  <si>
    <t>Lịch sử thông tin đại lý chuyển nhượng quỹ hưu trí</t>
  </si>
  <si>
    <t>Giám sát NĐT nước ngoài (FIMS)</t>
  </si>
  <si>
    <t>JOBTYPE</t>
  </si>
  <si>
    <t>Lưu danh sách chức vụ của người dùng trên hệ thống</t>
  </si>
  <si>
    <t>SECURITIESTYPE</t>
  </si>
  <si>
    <t>Lưu danh sách loại chứng khoán</t>
  </si>
  <si>
    <t>STOCKHOLDERTYPE</t>
  </si>
  <si>
    <t>Lưu danh sách danh mục loại cổ đông</t>
  </si>
  <si>
    <t>COMPANYTYPE</t>
  </si>
  <si>
    <t>Lưu danh sách danh mục loại hình doanh nghiệp</t>
  </si>
  <si>
    <t>DEGREE</t>
  </si>
  <si>
    <t>lưu danh sách danh mục trình độ</t>
  </si>
  <si>
    <t>UNIT</t>
  </si>
  <si>
    <t>lưu danh sách danh mục đơn vị</t>
  </si>
  <si>
    <t>VIOLATIONTYPE</t>
  </si>
  <si>
    <t>lưu danh sách danh mục loại vi phạm</t>
  </si>
  <si>
    <t>REPORTTYPE</t>
  </si>
  <si>
    <t>Lưu danh sách danh mục loại báo cáo</t>
  </si>
  <si>
    <t>INVESTORTYPE</t>
  </si>
  <si>
    <t>lưu danh sách danh mục loại nhà đầu tư</t>
  </si>
  <si>
    <t>INVESTOR</t>
  </si>
  <si>
    <t>lưu danh sách danh mục nhà đầu tư</t>
  </si>
  <si>
    <t>Investor</t>
  </si>
  <si>
    <t>CATEGORIESSTOCK</t>
  </si>
  <si>
    <t>Lưu danh sách danh mục chứng khoán của NĐT NN</t>
  </si>
  <si>
    <t>RELATEDPROPERTIES</t>
  </si>
  <si>
    <t>Lưu danh sách các hình thức liên quan</t>
  </si>
  <si>
    <t>ANNOUNCETYPE</t>
  </si>
  <si>
    <t>Lưu danh sách loại CBTT</t>
  </si>
  <si>
    <t>RPT_EVENT_TYPE</t>
  </si>
  <si>
    <t>Lưu danh sách loại sự vụ báo cáo</t>
  </si>
  <si>
    <t>RPT_EVENT_TYPE_LEGAL_BASIS</t>
  </si>
  <si>
    <t>Lưu danh sách căn cứ pháp lý của loại sự vụ</t>
  </si>
  <si>
    <t>RPT_EVENT_TYPE_SCHEDULE</t>
  </si>
  <si>
    <t>Lưu lịch nộp báo cáo theo loại sự vụ</t>
  </si>
  <si>
    <t>RPT_EVENT_TYPE_STATUS_LINK</t>
  </si>
  <si>
    <t>Lưu liên kết trạng thái loại sự vụ</t>
  </si>
  <si>
    <t>RPTTEMP</t>
  </si>
  <si>
    <t>lưu danh sách biểu mẫu báo cáo đầu vào</t>
  </si>
  <si>
    <t>RPTPERIOD</t>
  </si>
  <si>
    <t>lưu danh sách kỳ của báo cáo đầu vào</t>
  </si>
  <si>
    <t>RPTPDSHT</t>
  </si>
  <si>
    <t>bảng trung gian giữa bảng SHEET và bảng RPTPERIOD</t>
  </si>
  <si>
    <t>RPTTPOUT</t>
  </si>
  <si>
    <t>lưu danh sách biểu mẫu báo cáo đầu ra</t>
  </si>
  <si>
    <t>SHEETOUT</t>
  </si>
  <si>
    <t>lưu danh sách sheet của báo cáo đầu ra</t>
  </si>
  <si>
    <t>SECURITIESACCOUNT</t>
  </si>
  <si>
    <t>Lưu danh sách tài khoản giao dịch chứng khoán</t>
  </si>
  <si>
    <t>RELATIONSHIP</t>
  </si>
  <si>
    <t>Lưu danh sách quan hệ</t>
  </si>
  <si>
    <t>CLOSING_PRICE_SECURITIES</t>
  </si>
  <si>
    <t>Lưu giá đóng cửa chứng khoán</t>
  </si>
  <si>
    <t>STOCKEXCHANGE</t>
  </si>
  <si>
    <t>Lưu danh sách đối tượng gửi báo cáo là Sở giao dịch</t>
  </si>
  <si>
    <t>DEPOSITORYCENTER</t>
  </si>
  <si>
    <t>Lưu danh sách đối tượng gửi báo cáo là Trung tâm lưu ký</t>
  </si>
  <si>
    <t>FUNDCOMPANY</t>
  </si>
  <si>
    <t>Lưu danh sách đối tượng gửi báo cáo là Công ty quản lý quỹ</t>
  </si>
  <si>
    <t>FUNDCOMBUSINES</t>
  </si>
  <si>
    <t>Lưu danh sách nghiệp vụ kinh doanh của công ty quản lý quỹ</t>
  </si>
  <si>
    <t>FUNDCOMTYPE</t>
  </si>
  <si>
    <t>Lưu danh sách loại hình công ty của công ty QLQ</t>
  </si>
  <si>
    <t>SECURITIESCOMPANY</t>
  </si>
  <si>
    <t>Lưu danh sách đối tượng gửi báo cáo là Công ty chứng khoán</t>
  </si>
  <si>
    <t>SECCOMBUSINES</t>
  </si>
  <si>
    <t>Lưu danh sách nghiệp vụ kinh doanh của công ty chứng khoán</t>
  </si>
  <si>
    <t>SECCOMTYPE</t>
  </si>
  <si>
    <t>lưu danh sách loại hình doanh nghiệp của công ty chứng khoán</t>
  </si>
  <si>
    <t>BANKMONI</t>
  </si>
  <si>
    <t>Lưu danh sách đối tượng gửi báo cáo là Ngân hàng lưu ký</t>
  </si>
  <si>
    <t>BRANCHSBUSINES</t>
  </si>
  <si>
    <t>Lưu danh sách nghiệp vụ kinh doanh của CN công ty QLQ NN</t>
  </si>
  <si>
    <t>INFODISCREPRES</t>
  </si>
  <si>
    <t>Lưu danh sách đối tượng gửi báo cáo là người hành nghề chứng khoán</t>
  </si>
  <si>
    <t>INDIREBUSINESS</t>
  </si>
  <si>
    <t>Lưu danh sách nghiệp vụ kinh doanh của người hành nghề</t>
  </si>
  <si>
    <t>TRADINGREPRESENTATIVE</t>
  </si>
  <si>
    <t>Lưu danh sách đại diện giao dịch</t>
  </si>
  <si>
    <t>TLPROFILES</t>
  </si>
  <si>
    <t>lưu danh sách nhân sự của người đại diện CBTT</t>
  </si>
  <si>
    <t>TLPROJOB</t>
  </si>
  <si>
    <t>Lưu danh sách chức vụ của nhân sự</t>
  </si>
  <si>
    <t>TLPROSTOCKH</t>
  </si>
  <si>
    <t>lưu danh sách loại cổ đông của nhân sự</t>
  </si>
  <si>
    <t>RPTMEMBER</t>
  </si>
  <si>
    <t>lưu danh sách báo cáo của các thành viên thị trường</t>
  </si>
  <si>
    <t>RPTVALUES</t>
  </si>
  <si>
    <t>bảng lưu giá trị của báo cáo. Mỗi năm, tự động sinh bảng mới</t>
  </si>
  <si>
    <t>AUTHOANNOUNCE</t>
  </si>
  <si>
    <t>Lưu danh sách ủy quyền CBTT</t>
  </si>
  <si>
    <t>ANNOUNCEINVES</t>
  </si>
  <si>
    <t>lưu danh sách NĐT NN ủy quyền CBTT</t>
  </si>
  <si>
    <t>TRADINGAUTHORIZATION</t>
  </si>
  <si>
    <t>Lưu danh sách ủy quyền giao dịch</t>
  </si>
  <si>
    <t>TRADINGAUTHORIZATIONINVES</t>
  </si>
  <si>
    <t>Lưu danh sách NĐT NN trong ủy quyền giao dịch</t>
  </si>
  <si>
    <t>RPTHTORY</t>
  </si>
  <si>
    <t>lưu lịch sử thay đổi biểu mẫu báo cáo đầu vào</t>
  </si>
  <si>
    <t>TPOUTHTORY</t>
  </si>
  <si>
    <t>lưu danh sách lịch sử thay đổi biểu mẫu báo cáo đầu ra</t>
  </si>
  <si>
    <t>INVESTORHIS</t>
  </si>
  <si>
    <t>Lưu danh sách lịch sử của nhà đầu tư</t>
  </si>
  <si>
    <t>SECURITIESACCOUNTHIS</t>
  </si>
  <si>
    <t>Lưu danh sách lịch sử tài khoản chứng khoán</t>
  </si>
  <si>
    <t>CATEGORIESSTOCKHIS</t>
  </si>
  <si>
    <t>Lưu danh sách lịch sử sở hữu chứng khoán của NĐT NN</t>
  </si>
  <si>
    <t>RPTPROCESS</t>
  </si>
  <si>
    <t>lưu danh sách lịch sử xử lý báo cáo</t>
  </si>
  <si>
    <t>AUTHOANNOUNCEHIS</t>
  </si>
  <si>
    <t>Lưu danh sách lịch sử ủy quyền CBTT</t>
  </si>
  <si>
    <t>ANNOUNCEINVESHIS</t>
  </si>
  <si>
    <t>Lưu lịch sử danh sách NĐT NN ủy quyền CBTT</t>
  </si>
  <si>
    <t>TRADINGAUTHORIZATIONHIS</t>
  </si>
  <si>
    <t>Lưu lịch sử ủy quyền giao dịch</t>
  </si>
  <si>
    <t>TRADINGAUTHORIZATIONINVESHIS</t>
  </si>
  <si>
    <t>Lưu lịch sử NĐT NN trong ủy quyền giao dịch</t>
  </si>
  <si>
    <t>BANKS</t>
  </si>
  <si>
    <t>Danh mục ngân hàng (dùng cho nộp phí thi): mã ngân hàng, tên đầy đủ, tên viết tắt, tên tiếng Anh, mã giao dịch</t>
  </si>
  <si>
    <t>Người hành nghề chứng khoán (NHNCK)</t>
  </si>
  <si>
    <t>Bank</t>
  </si>
  <si>
    <t>COUNTRIES</t>
  </si>
  <si>
    <t>Danh mục quốc gia/quốc tịch: mã quốc gia, tên quốc gia, cờ mặc định (Việt Nam), trạng thái</t>
  </si>
  <si>
    <t>DISTRICTS</t>
  </si>
  <si>
    <t>Danh mục quận/huyện: mã huyện, tên huyện, loại (huyện/quận/thị xã/thành phố thuộc tỉnh), trạng thái</t>
  </si>
  <si>
    <t>EDUCATION_LEVELS</t>
  </si>
  <si>
    <t>Danh mục trình độ học vấn: tên trình độ, hiển thị trên giao diện, cờ dữ liệu gốc, trạng thái</t>
  </si>
  <si>
    <t>FORMS</t>
  </si>
  <si>
    <t>Biểu mẫu liên quan đến quy trình cấp CCHN: tên biểu mẫu, căn cứ pháp lý, file tải về, trạng thái, nổi bật</t>
  </si>
  <si>
    <t>LEGAL_DOCUMENTS</t>
  </si>
  <si>
    <t>Văn bản pháp lý về hành nghề chứng khoán: số văn bản, tên, cơ quan ban hành, ngày ban hành, file, trạng thái, nổi bật</t>
  </si>
  <si>
    <t>POSITIONS</t>
  </si>
  <si>
    <t>Danh mục chức vụ của cán bộ UBCKNN: tên chức vụ, trạng thái</t>
  </si>
  <si>
    <t>PROCEDURES</t>
  </si>
  <si>
    <t>Thủ tục hành chính cấp CCHN: loại thủ tục, tiêu đề, nội dung, thời gian xử lý, đối tượng, cơ quan thực hiện, kết quả, phí</t>
  </si>
  <si>
    <t>PROVINCES</t>
  </si>
  <si>
    <t>Danh mục tỉnh/thành phố trực thuộc quốc gia: mã tỉnh, tên tỉnh, loại (tỉnh/thành phố), trạng thái</t>
  </si>
  <si>
    <t>SPECIALIZATIONS</t>
  </si>
  <si>
    <t>Danh mục chuyên ngành CCHN: mã chuyên ngành, tên, căn cứ pháp lý, mã TTHC tương ứng, trạng thái</t>
  </si>
  <si>
    <t>SPECIALIZATION_COURSES</t>
  </si>
  <si>
    <t>Lớp học chứng chỉ chuyên môn theo từng chuyên ngành: năm học, mã lớp, tên lớp, thời gian thi, địa điểm, tỉnh tổ chức</t>
  </si>
  <si>
    <t>SPECIALIZATION_COURSE_DETAILS</t>
  </si>
  <si>
    <t>Kết quả thi chứng chỉ chuyên môn của từng học viên trong lớp: điểm thi, kết quả, thông tin cá nhân học viên</t>
  </si>
  <si>
    <t>UNITS</t>
  </si>
  <si>
    <t>Đơn vị tổ chức nội bộ UBCKNN: cây phân cấp đơn vị, mã đơn vị, tên, địa chỉ, điện thoại, email, fax</t>
  </si>
  <si>
    <t>APPLICATIONS</t>
  </si>
  <si>
    <t>Hồ sơ đề nghị cấp/cấp lại CCHN: loại đăng ký, loại hồ sơ, mã hồ sơ, ngày nộp, lý do cấp lại, kết quả, trạng thái xử lý, thông tin nhận chứng chỉ</t>
  </si>
  <si>
    <t>APPLICATION_ARCHIVES</t>
  </si>
  <si>
    <t>Thông tin lưu trữ vật lý hồ sơ CCHN: địa điểm lưu trữ, người liên hệ, điện thoại, ghi chú lưu trữ</t>
  </si>
  <si>
    <t>APPLICATION_DECISIONS</t>
  </si>
  <si>
    <t>Liên kết hồ sơ CCHN với quyết định tương ứng (một quyết định có thể áp dụng cho nhiều hồ sơ)</t>
  </si>
  <si>
    <t>APPLICATION_DOCUMENTS</t>
  </si>
  <si>
    <t>Tài liệu đính kèm trong hồ sơ CCHN: loại tài liệu, trạng thái thẩm định, file đính kèm, người thẩm định, ghi chú</t>
  </si>
  <si>
    <t>APPLICATION_EXPERIENCES</t>
  </si>
  <si>
    <t>Kinh nghiệm làm việc khai báo trong hồ sơ xin cấp CCHN: tổ chức, phòng ban, thời gian, hợp đồng lao động, xác nhận của giám đốc</t>
  </si>
  <si>
    <t>APPLICATION_FEES</t>
  </si>
  <si>
    <t>Thông tin lệ phí nộp hồ sơ CCHN: loại phí, số tiền, ngày yêu cầu, ngày thanh toán, ngày hết hạn, trạng thái, file chứng từ</t>
  </si>
  <si>
    <t>APPLICATION_GROUPS</t>
  </si>
  <si>
    <t>Nhóm hồ sơ CCHN xử lý tập thể (dạng batch): tên nhóm, số lượng hồ sơ, ngày tạo nhóm, ngày hoàn thành, quyết định ban hành</t>
  </si>
  <si>
    <t>APPLICATION_GROUP_MEMBERS</t>
  </si>
  <si>
    <t>Thành viên (hồ sơ) trong nhóm xử lý tập thể: hồ sơ nào thuộc nhóm nào, trạng thái, thứ tự</t>
  </si>
  <si>
    <t>APPLICATION_LOGS</t>
  </si>
  <si>
    <t>Nhật ký hoạt động trên hồ sơ CCHN: ghi nhận từng thao tác của cán bộ xử lý theo thời gian</t>
  </si>
  <si>
    <t>APPLICATION_PROFESSIONALS</t>
  </si>
  <si>
    <t>Thông tin cá nhân của người đăng ký trong hồ sơ CCHN: snapshot thông tin tại thời điểm nộp hồ sơ (có thể khác PROFESSIONALS hiện tại)</t>
  </si>
  <si>
    <t>APPLICATION_RE_EXAMS</t>
  </si>
  <si>
    <t>Hồ sơ đăng ký thi lại: liên kết hồ sơ gốc với chi tiết bài thi và hồ sơ đăng ký lại</t>
  </si>
  <si>
    <t>APPLICATION_SOURCES</t>
  </si>
  <si>
    <t>Danh mục nguồn/kênh nộp hồ sơ CCHN: nộp trực tiếp, qua TTHC, qua cổng dịch vụ công...</t>
  </si>
  <si>
    <t>APPLICATION_SPECIALIZATIONS</t>
  </si>
  <si>
    <t>Chuyên ngành đăng ký cấp CCHN trong hồ sơ: chuyên ngành nào, ngày cấp chứng chỉ chuyên môn, nơi cấp, trạng thái thẩm định</t>
  </si>
  <si>
    <t>APPLICATION_STATUSES</t>
  </si>
  <si>
    <t>Danh mục trạng thái hồ sơ CCHN: mã trạng thái, tên, nhãn hiển thị, thứ tự sắp xếp, cờ dữ liệu gốc</t>
  </si>
  <si>
    <t>APPLICATION_SUPPLEMENTS</t>
  </si>
  <si>
    <t>Thông tin bổ sung hồ sơ CCHN: ngày bổ sung, nội dung bổ sung, người bổ sung</t>
  </si>
  <si>
    <t>AUTO_INCREMENT_CODES</t>
  </si>
  <si>
    <t>Quản lý số tự tăng cho mã CCHN và mã tài liệu: theo loại bản ghi và loại tài liệu</t>
  </si>
  <si>
    <t>CERTIFICATES</t>
  </si>
  <si>
    <t>Danh mục loại chứng chỉ hành nghề chứng khoán: tên CCHN, mô tả, số ngày xử lý, thứ tự hiển thị, trạng thái</t>
  </si>
  <si>
    <t>CERTIFICATE_ARCHIVES</t>
  </si>
  <si>
    <t>Thông tin lưu trữ bản CCHN giấy: số lưu trữ, người nhận, số CMND người nhận, số công văn giới thiệu, ngày nhận, tình trạng thanh toán</t>
  </si>
  <si>
    <t>CERTIFICATE_CONVERSION_REQUESTS</t>
  </si>
  <si>
    <t>Yêu cầu chuyển đổi CCHN bản giấy sang bản điện tử: trạng thái xử lý, người xử lý, payload dữ liệu chuyển đổi</t>
  </si>
  <si>
    <t>CERTIFICATE_DEPARTMENTS</t>
  </si>
  <si>
    <t>Liên kết loại CCHN với phòng ban UBCKNN phụ trách cấp loại CCHN đó</t>
  </si>
  <si>
    <t>CERTIFICATE_DOCUMENTS</t>
  </si>
  <si>
    <t>Cấu hình tài liệu bắt buộc/tùy chọn cho từng loại CCHN: loại tài liệu, có bắt buộc không, loại tệp đính kèm, hiển thị</t>
  </si>
  <si>
    <t>CERTIFICATE_NUMBER_TEMPLATES</t>
  </si>
  <si>
    <t>Mẫu sinh số CCHN: mã template, loại số (cấp mới/cấp lại), tên mẫu, có dùng mặc định không</t>
  </si>
  <si>
    <t>CERTIFICATE_RECORDS</t>
  </si>
  <si>
    <t>Sổ đăng bộ CCHN (registry): từng CCHN được cấp cho NHNCK — số CCHN, ngày cấp, ngày thu hồi, trạng thái, cho phép cấp lại</t>
  </si>
  <si>
    <t>CERTIFICATE_RECORD_GROUPS</t>
  </si>
  <si>
    <t>Nhóm cấp CCHN theo loạt (batch): tên nhóm, loại nhóm (cấp mới/cấp lại/thu hồi), quyết định liên quan, số lượng</t>
  </si>
  <si>
    <t>CERTIFICATE_RECORD_GROUP_MEMBERS</t>
  </si>
  <si>
    <t>Thành viên trong nhóm cấp/thu hồi CCHN: bản ghi CCHN nào thuộc nhóm, cờ cấp lại, lý do thu hồi, thứ tự</t>
  </si>
  <si>
    <t>CERTIFICATE_RECORD_LOGS</t>
  </si>
  <si>
    <t>Nhật ký hành động trên bản ghi CCHN: cấp, thu hồi, hủy bỏ, đính chính — ghi rõ ai làm gì, khi nào</t>
  </si>
  <si>
    <t>CERTIFICATE_SPECIALIZATIONS</t>
  </si>
  <si>
    <t>Liên kết loại CCHN với chuyên ngành được phép: loại tài liệu cần nộp, có bắt buộc không</t>
  </si>
  <si>
    <t>DECISIONS</t>
  </si>
  <si>
    <t>Quyết định hành chính liên quan đến NHNCK: số quyết định, tiêu đề, ngày ký, người ký, đơn vị ban hành, file đính kèm, loại quyết định</t>
  </si>
  <si>
    <t>DECISION_DOCUMENTS</t>
  </si>
  <si>
    <t>Tài liệu đính kèm của quyết định: loại tài liệu, số quyết định, người ký, file, trạng thái</t>
  </si>
  <si>
    <t>DEPARTMENTS</t>
  </si>
  <si>
    <t>Phòng ban trong từng đơn vị UBCKNN: mã phòng, tên phòng, thứ tự, trạng thái</t>
  </si>
  <si>
    <t>DEPARTMENT_ACCESS</t>
  </si>
  <si>
    <t>Phân quyền truy cập dữ liệu giữa các phòng ban: phòng ban A được xem dữ liệu của phòng ban B</t>
  </si>
  <si>
    <t>DOCUMENTS</t>
  </si>
  <si>
    <t>Danh mục tài liệu yêu cầu nộp trong hồ sơ CCHN: mã tài liệu, tên, căn cứ pháp lý, trạng thái, mã TTHC</t>
  </si>
  <si>
    <t>EXAM_DETAILS</t>
  </si>
  <si>
    <t>Kết quả thi của từng NHNCK trong đợt thi: điểm luật, điểm chuyên ngành, kết quả từng phần và kết quả tổng thể</t>
  </si>
  <si>
    <t>EXAM_SESSIONS</t>
  </si>
  <si>
    <t>Đợt thi sát hạch cấp CCHN: tên đợt, mã đợt, năm, kỳ thi, đơn vị tổ chức, thời gian đăng ký/thi, địa điểm, phương thức nộp, quyết định, ngân hàng thu phí</t>
  </si>
  <si>
    <t>EXAM_SESSION_FEES</t>
  </si>
  <si>
    <t>Mức phí thi sát hạch theo loại CCHN và đợt thi: phí thi và phí phúc khảo</t>
  </si>
  <si>
    <t>IDENTITY_INFO_C06S</t>
  </si>
  <si>
    <t>Thông tin công dân lấy từ CSDL Quốc gia về dân cư (C06/CCCD): họ tên, ngày sinh, CMND, địa chỉ thường trú/tạm trú, quê quán, thông tin cha/mẹ/vợ-chồng</t>
  </si>
  <si>
    <t>ORGANIZATIONS</t>
  </si>
  <si>
    <t>Tổ chức kinh doanh chứng khoán sử dụng NHNCK: tên, mã, loại tổ chức, địa chỉ, đại diện, giấy phép, trạng thái, liên kết với FMS/SCMS</t>
  </si>
  <si>
    <t>ORGANIZATION_REPORTS</t>
  </si>
  <si>
    <t>Báo cáo thông tin NHNCK từ tổ chức: danh sách NHNCK, thông tin tuyển dụng/chấm dứt, trạng thái CCHN, loại báo cáo</t>
  </si>
  <si>
    <t>ORGANIZATION_REPORT_LOG_SYNCS</t>
  </si>
  <si>
    <t>Nhật ký đồng bộ dữ liệu báo cáo từ tổ chức: xác thực các trường số CCHN, ngày cấp, ngày tuyển dụng, ngày chấm dứt</t>
  </si>
  <si>
    <t>ORGANIZATION_REPORT_YEARLYS</t>
  </si>
  <si>
    <t>Báo cáo hàng năm của tổ chức: tên báo cáo, năm, loại, ngày nộp, file, trạng thái</t>
  </si>
  <si>
    <t>POST_CERT_TRAINING_COURSES</t>
  </si>
  <si>
    <t>Khóa đào tạo sau cấp CCHN (bồi dưỡng kiến thức định kỳ): mã khóa, tên khóa, mã lớp, trạng thái</t>
  </si>
  <si>
    <t>PROCEDURE_DOCUMENTS</t>
  </si>
  <si>
    <t>Liên kết thủ tục hành chính với tài liệu yêu cầu</t>
  </si>
  <si>
    <t>PROCEDURE_FORMS</t>
  </si>
  <si>
    <t>Liên kết thủ tục hành chính với biểu mẫu, số lượng biểu mẫu cần nộp</t>
  </si>
  <si>
    <t>PROFESSIONALS</t>
  </si>
  <si>
    <t>Hồ sơ người hành nghề chứng khoán (NHNCK): thông tin định danh cá nhân, quốc tịch, địa chỉ thường trú/tạm trú, chứng minh nhân thân, nơi làm việc, trình độ học vấn, trạng thái hành nghề và tài khoản đăng nhập</t>
  </si>
  <si>
    <t>PROFESSIONAL_RELATIONSHIPS</t>
  </si>
  <si>
    <t>Quan hệ gia đình của người hành nghề: bố, mẹ, vợ/chồng, con cái — thông tin nhân thân phục vụ xác minh hồ sơ</t>
  </si>
  <si>
    <t>PROFESSIONAL_TRAININGS</t>
  </si>
  <si>
    <t>Lịch sử đào tạo, bồi dưỡng của người hành nghề: trường đào tạo, chuyên ngành, thời gian học, kết quả, kỷ luật</t>
  </si>
  <si>
    <t>VERIFY_APPLICATION_STATUSES</t>
  </si>
  <si>
    <t>Kết quả xác minh/thẩm định hồ sơ CCHN: lý do từng khía cạnh (chuyên ngành, tổ chức, tổng quan), file đính kèm, người xác minh</t>
  </si>
  <si>
    <t>VIOLATIONS</t>
  </si>
  <si>
    <t>Thông tin vi phạm của NHNCK: loại vi phạm, quyết định xử phạt, họ tên, ngày sinh, số CMND, trạng thái</t>
  </si>
  <si>
    <t>APPLICATION_DOCUMENT_HISTORIES</t>
  </si>
  <si>
    <t>Lịch sử thẩm định từng tài liệu trong hồ sơ: trạng thái hợp lệ/không đầy đủ tại từng thời điểm thẩm định</t>
  </si>
  <si>
    <t>APPLICATION_HISTORIES</t>
  </si>
  <si>
    <t>Lịch sử xử lý hồ sơ CCHN: từng bước chuyển trạng thái, người gửi/nhận, nội dung trao đổi, phản hồi, cờ từ chối</t>
  </si>
  <si>
    <t>CERTIFICATE_RECORD_STATUS_HISTORIES</t>
  </si>
  <si>
    <t>Lịch sử thay đổi trạng thái CCHN: trạng thái cũ, mới, quyết định căn cứ, lý do, thời gian</t>
  </si>
  <si>
    <t>PROFESSIONAL_HISTORIES</t>
  </si>
  <si>
    <t>Lịch sử thay đổi thông tin người hành nghề: snapshot toàn bộ thông tin NHNCK tại mỗi lần cập nhật, ghi lại lý do thay đổi</t>
  </si>
  <si>
    <t>PROFESSIONAL_WORK_HISTORIES</t>
  </si>
  <si>
    <t>Lịch sử công tác của người hành nghề: quá trình làm việc tại các tổ chức kinh doanh chứng khoán theo thời gian</t>
  </si>
  <si>
    <t>INSPECTION_ANNUAL_PLAN</t>
  </si>
  <si>
    <t>Kế hoạch thanh tra hàng năm</t>
  </si>
  <si>
    <t>Thanh tra chứng khoán</t>
  </si>
  <si>
    <t>INSPECTION_ANNUAL_PLAN_TARGET</t>
  </si>
  <si>
    <t>Đối tượng trong kế hoạch thanh tra hàng năm</t>
  </si>
  <si>
    <t>INSPECTION_TEAM</t>
  </si>
  <si>
    <t>Hồ sơ đoàn thanh tra (quyết định và thông tin đoàn)</t>
  </si>
  <si>
    <t>INSPECTION_TEAM_MEMBER</t>
  </si>
  <si>
    <t>Thành viên đoàn thanh tra</t>
  </si>
  <si>
    <t>INSPECTION_TEAM_TARGET</t>
  </si>
  <si>
    <t>Đối tượng thanh tra của đoàn</t>
  </si>
  <si>
    <t>INSPECTION_CONCLUSION</t>
  </si>
  <si>
    <t>Kết luận thanh tra</t>
  </si>
  <si>
    <t>INSPECTION_CONCLUSION_REMEDIAL</t>
  </si>
  <si>
    <t>Kiến nghị, biện pháp khắc phục trong kết luận thanh tra</t>
  </si>
  <si>
    <t>INSPECTION_REPORT_OUTLINE</t>
  </si>
  <si>
    <t>Đề cương báo cáo thanh tra</t>
  </si>
  <si>
    <t>POST_INSPECTION_PROCESSING</t>
  </si>
  <si>
    <t>Theo dõi xử lý sau thanh tra</t>
  </si>
  <si>
    <t>PROACTIVE_NOTICE</t>
  </si>
  <si>
    <t>Thông báo chủ động (công bố thông tin)</t>
  </si>
  <si>
    <t>PROACTIVE_NOTICE_RECIPIENT</t>
  </si>
  <si>
    <t>Danh sách người nhận thông báo chủ động</t>
  </si>
  <si>
    <t>EXAMINATION_ANNUAL_PLAN</t>
  </si>
  <si>
    <t>Kế hoạch kiểm tra hàng năm</t>
  </si>
  <si>
    <t>EXAMINATION_ANNUAL_PLAN_TARGET</t>
  </si>
  <si>
    <t>Đối tượng trong kế hoạch kiểm tra hàng năm</t>
  </si>
  <si>
    <t>EXAMINATION_TEAM</t>
  </si>
  <si>
    <t>Hồ sơ đoàn kiểm tra</t>
  </si>
  <si>
    <t>EXAMINATION_TEAM_MEMBER</t>
  </si>
  <si>
    <t>Thành viên đoàn kiểm tra</t>
  </si>
  <si>
    <t>EXAMINATION_TEAM_TARGET</t>
  </si>
  <si>
    <t>Đối tượng kiểm tra của đoàn</t>
  </si>
  <si>
    <t>EXAMINATION_RESULT_NOTICE</t>
  </si>
  <si>
    <t>Thông báo kết quả kiểm tra</t>
  </si>
  <si>
    <t>EXAMINATION_RESULT_NOTICE_REMEDIAL</t>
  </si>
  <si>
    <t>Kiến nghị, biện pháp khắc phục trong thông báo kết quả kiểm tra</t>
  </si>
  <si>
    <t>VIOLATION_CASE</t>
  </si>
  <si>
    <t>Hồ sơ vụ việc vi phạm hành chính</t>
  </si>
  <si>
    <t>VIOLATION_CASE_RECEIVED_DOCUMENT</t>
  </si>
  <si>
    <t>Văn bản đầu vào của hồ sơ vi phạm</t>
  </si>
  <si>
    <t>VIOLATION_CASE_OUTPUT_DOCUMENT</t>
  </si>
  <si>
    <t>Văn bản đầu ra của hồ sơ vi phạm</t>
  </si>
  <si>
    <t>VIOLATION_RECORD</t>
  </si>
  <si>
    <t>Biên bản vi phạm hành chính</t>
  </si>
  <si>
    <t>VIOLATION_RECORD_BEHAVIOR</t>
  </si>
  <si>
    <t>Hành vi vi phạm ghi nhận trong biên bản</t>
  </si>
  <si>
    <t>VIOLATION_BEHAVIOR</t>
  </si>
  <si>
    <t>Danh mục hành vi vi phạm hành chính</t>
  </si>
  <si>
    <t>VIOLATION_BEHAVIOR_LEGAL_DOCUMENT</t>
  </si>
  <si>
    <t>Văn bản pháp luật áp dụng cho hành vi vi phạm</t>
  </si>
  <si>
    <t>PENALTY_DECISION</t>
  </si>
  <si>
    <t>Quyết định xử phạt vi phạm hành chính</t>
  </si>
  <si>
    <t>PENALTY_DECISION_SUBJECT</t>
  </si>
  <si>
    <t>Đối tượng bị xử phạt trong quyết định</t>
  </si>
  <si>
    <t>PENALTY_DECISION_SUBJECT_BEHAVIOR</t>
  </si>
  <si>
    <t>Hành vi vi phạm của đối tượng trong quyết định xử phạt</t>
  </si>
  <si>
    <t>PENALTY_DECISION_VIOLATION_RECORD</t>
  </si>
  <si>
    <t>Liên kết giữa quyết định xử phạt và biên bản vi phạm</t>
  </si>
  <si>
    <t>PENALTY_DECISION_CIRCUMSTANCE</t>
  </si>
  <si>
    <t>Tình tiết tăng nặng/giảm nhẹ trong quyết định xử phạt</t>
  </si>
  <si>
    <t>PENALTY_TYPE</t>
  </si>
  <si>
    <t>Danh mục hình thức xử phạt</t>
  </si>
  <si>
    <t>PENALTY_TYPE_VIOLATION_BEHAVIOR</t>
  </si>
  <si>
    <t>Ánh xạ hình thức xử phạt theo hành vi vi phạm</t>
  </si>
  <si>
    <t>SECURITY_MEASURE_DECISION</t>
  </si>
  <si>
    <t>Quyết định áp dụng biện pháp ngăn chặn và bảo đảm xử phạt</t>
  </si>
  <si>
    <t>SECURITY_MEASURE_DECISION_SUBJECT</t>
  </si>
  <si>
    <t>Đối tượng áp dụng biện pháp ngăn chặn</t>
  </si>
  <si>
    <t>SECURITY_MEASURE_DECISION_RECIPIENT</t>
  </si>
  <si>
    <t>Người nhận quyết định biện pháp ngăn chặn</t>
  </si>
  <si>
    <t>SECURITY_MEASURE_EXECUTION</t>
  </si>
  <si>
    <t>Theo dõi thực hiện quyết định biện pháp ngăn chặn</t>
  </si>
  <si>
    <t>VPHC_PROCESS_OFFICIAL_LETTER</t>
  </si>
  <si>
    <t>Công văn trong quy trình xử lý vi phạm hành chính</t>
  </si>
  <si>
    <t>ADMIN_VIOLATION_REPORT_OUTLINE</t>
  </si>
  <si>
    <t>Đề cương báo cáo vi phạm hành chính</t>
  </si>
  <si>
    <t>ADHOC_ADMIN_VIOLATION_REPORT</t>
  </si>
  <si>
    <t>Báo cáo đột xuất vi phạm hành chính</t>
  </si>
  <si>
    <t>PETITION</t>
  </si>
  <si>
    <t>Đơn thư khiếu nại, tố cáo, phản ánh kiến nghị</t>
  </si>
  <si>
    <t>PETITION_DOCUMENT</t>
  </si>
  <si>
    <t>Văn bản đính kèm đơn thư</t>
  </si>
  <si>
    <t>CITIZEN_RECEPTION</t>
  </si>
  <si>
    <t>Hồ sơ tiếp công dân</t>
  </si>
  <si>
    <t>CITIZEN_COMPLAINT_REPORT_OUTLINE</t>
  </si>
  <si>
    <t>Đề cương báo cáo khiếu nại, tố cáo</t>
  </si>
  <si>
    <t>ANTI_CORRUPTION_DOCUMENT</t>
  </si>
  <si>
    <t>Văn bản phòng chống tham nhũng</t>
  </si>
  <si>
    <t>ANTI_CORRUPTION_PERIODIC_REPORT</t>
  </si>
  <si>
    <t>Báo cáo định kỳ phòng chống tham nhũng</t>
  </si>
  <si>
    <t>ANTI_CORRUPTION_REPORT_OUTLINE</t>
  </si>
  <si>
    <t>Đề cương báo cáo phòng chống tham nhũng</t>
  </si>
  <si>
    <t>ADHOC_ANTI_CORRUPTION_REPORT</t>
  </si>
  <si>
    <t>Báo cáo đột xuất phòng chống tham nhũng</t>
  </si>
  <si>
    <t>ANTI_MONEY_LAUNDERING_DOCUMENT</t>
  </si>
  <si>
    <t>Văn bản phòng chống rửa tiền</t>
  </si>
  <si>
    <t>ANTI_MONEY_LAUNDERING_REPORT</t>
  </si>
  <si>
    <t>Báo cáo phòng chống rửa tiền</t>
  </si>
  <si>
    <t>SUPERVISION_ACTIVITY_REPORT</t>
  </si>
  <si>
    <t>Báo cáo hoạt động giám sát</t>
  </si>
  <si>
    <t>ADHOC_INSPECTION_REPORT</t>
  </si>
  <si>
    <t>Báo cáo đột xuất thanh tra</t>
  </si>
  <si>
    <t>PRIVATE_CATALOG_ITEM</t>
  </si>
  <si>
    <t>Danh mục dùng riêng cho phân hệ thanh tra</t>
  </si>
  <si>
    <t>OFFICIAL_LETTER_TYPE</t>
  </si>
  <si>
    <t>Danh mục loại công văn</t>
  </si>
  <si>
    <t>CODE_SEQUENCE_COUNTER</t>
  </si>
  <si>
    <t>Bộ đếm sinh mã tự động</t>
  </si>
  <si>
    <t>DOCUMENT_ATTACHMENT</t>
  </si>
  <si>
    <t>Tệp đính kèm văn bản</t>
  </si>
  <si>
    <t>DOCUMENT_TEMPLATE</t>
  </si>
  <si>
    <t>Mẫu văn bản</t>
  </si>
  <si>
    <t>DOCUMENT_TEMPLATE_VERSION</t>
  </si>
  <si>
    <t>Phiên bản mẫu văn bản</t>
  </si>
  <si>
    <t>DOCUMENT_TEMPLATE_KEY_DEFINITION</t>
  </si>
  <si>
    <t>Định nghĩa trường dữ liệu mẫu văn bản</t>
  </si>
  <si>
    <t>DOCUMENT_TEMPLATE_KEY_ASSIGN</t>
  </si>
  <si>
    <t>Phân công trường dữ liệu cho phiên bản mẫu văn bản</t>
  </si>
  <si>
    <t>FORM_TEMPLATE</t>
  </si>
  <si>
    <t>Mẫu biểu mẫu in</t>
  </si>
  <si>
    <t>FORM_TEMPLATE_VERSION</t>
  </si>
  <si>
    <t>Phiên bản mẫu biểu mẫu in</t>
  </si>
  <si>
    <t>FORM_TEMPLATE_PLACEHOLDER</t>
  </si>
  <si>
    <t>Trường placeholder trong mẫu biểu mẫu</t>
  </si>
  <si>
    <t>DYNAMIC_TABLE</t>
  </si>
  <si>
    <t>Cấu hình bảng động</t>
  </si>
  <si>
    <t>DYNAMIC_COLUMN</t>
  </si>
  <si>
    <t>Cấu hình cột động (hệ thống dynamic)</t>
  </si>
  <si>
    <t>DYNAMIC_CONNECTION</t>
  </si>
  <si>
    <t>Cấu hình kết nối động</t>
  </si>
  <si>
    <t>DYNAMIC_GENERATOR_CONFIG</t>
  </si>
  <si>
    <t>Cấu hình bộ sinh dữ liệu động</t>
  </si>
  <si>
    <t>DYNAMIC_GENERATOR_SEQ</t>
  </si>
  <si>
    <t>Sequence bộ sinh dữ liệu động</t>
  </si>
  <si>
    <t>VIOLATION_CASE_STATUS_HISTORY</t>
  </si>
  <si>
    <t>Lịch sử trạng thái hồ sơ vi phạm</t>
  </si>
  <si>
    <t>PENALTY_DECISION_APPROVAL_HISTORY</t>
  </si>
  <si>
    <t>Lịch sử phê duyệt quyết định xử phạt</t>
  </si>
  <si>
    <t>CATEGORY_CONFIG</t>
  </si>
  <si>
    <t>Cấu hình: tên danh mục chung; code danh mục dùng chung (sử dụng để select ra theo code. vd: tms_account_relationship); mô tả</t>
  </si>
  <si>
    <t>Giám sát giao dịch chứng khoán (Q5)</t>
  </si>
  <si>
    <t>CATEGORY_ITEM</t>
  </si>
  <si>
    <t>Lưu thông tin mã item; tên item; giá trị (nếu có)</t>
  </si>
  <si>
    <t>INVESTOR_ACCOUNT</t>
  </si>
  <si>
    <t>Lưu thông tin số tài khoản (từ vsdc); địa chỉ liên lạc (từ ctck, có thể sửa); ngày tháng năm sinh/ngày thành lập dn (từ ctck, có thể sửa)</t>
  </si>
  <si>
    <t>INVESTOR_ACCOUNT_EXTEND_INFO</t>
  </si>
  <si>
    <t>Lưu thông tin số tài khoản; người đại diện theo pháp luật; số điện thoại</t>
  </si>
  <si>
    <t>ACCOUNT_FINANCIAL_SERVICE</t>
  </si>
  <si>
    <t>Lưu thông tin loại dịch vụ: 1=ký quỹ, 2=ứng trước tiền bán, 3=hđ tài chính khác; số hợp đồng; ngày ký hợp đồng</t>
  </si>
  <si>
    <t>ACCOUNT_AUTHORIZATION</t>
  </si>
  <si>
    <t>Lưu thông tin người nhận ủy quyền; ngày nhận ủy quyền</t>
  </si>
  <si>
    <t>ACCOUNT_GROUP</t>
  </si>
  <si>
    <t>Lưu thông tin mã nhóm (hệ thống tự sinh); tên nhóm; mã chứng khoán</t>
  </si>
  <si>
    <t>ACCOUNT_GROUP_MEMBER</t>
  </si>
  <si>
    <t>Lưu thông tin trạng thái tài khoản trong nhóm; mối quan hệ: danh tính, ip, mac, tiền</t>
  </si>
  <si>
    <t>ACCOUNT_RELATIONSHIP</t>
  </si>
  <si>
    <t>Lưu quan hệ giữa các tài khoản nhà đầu tư và nhóm tài khoản</t>
  </si>
  <si>
    <t>COMPANY_EVENT</t>
  </si>
  <si>
    <t>Lưu thông tin tên sự kiện tổ chức niêm yết; loại sự kiện; sự kiện</t>
  </si>
  <si>
    <t>SECURITIES_GROUP</t>
  </si>
  <si>
    <t>Lưu thông tin mã nhóm (hệ thống tự sinh); loại nhóm: 1=thường
2=theo ngành; mô tả nhóm</t>
  </si>
  <si>
    <t>SECURITIES_GROUP_MEMBER</t>
  </si>
  <si>
    <t>Lưu thông tin securities_group.id; securities_code.id; mã chứng khoán</t>
  </si>
  <si>
    <t>Lưu thông tin mã vụ việc (tự sinh: mãck+ddmmyyyy); nguồn thông tin
1=nguồn từ báo cáo của sở
2=nguồn từ hoạt động của ubcknn
3=nguồn dữ liệu xác nhận từ ctck; nguồn thông tin chi tiết</t>
  </si>
  <si>
    <t>CASE_FILE_SECURITIES_CODE</t>
  </si>
  <si>
    <t>Lưu thông tin mã chứng khoán</t>
  </si>
  <si>
    <t>CASE_ATTACH_FILE</t>
  </si>
  <si>
    <t>Lưu thông tin case_file.id; kích thước file (bytes); loại file: csv, xlsx, pdf</t>
  </si>
  <si>
    <t>CASE_FILE_WORKFLOW</t>
  </si>
  <si>
    <t>Lưu thông tin case_file.id; analysis_workflow.id; 1=sơ bộ, 2=thao túng, 3=nội gián, 4=liên thị trường</t>
  </si>
  <si>
    <t>CASE_APPROVAL_STEP</t>
  </si>
  <si>
    <t>Lưu thông tin case_file.id; 1 = chuyên viên khởi tạo
2 = trưởng ban phê duyệt
3 = phó trưởng ban phân công
4 = chuyên viên xử lý; tên bước (phục vụ hiển thị)</t>
  </si>
  <si>
    <t>SUSPICIOUS_ACCOUNT</t>
  </si>
  <si>
    <t>Lưu thông tin case_file.id; investor_account.id; các tiêu chí đánh giá (json hoặc comma-separated)</t>
  </si>
  <si>
    <t>SUSPICIOUS_ACCOUNT_GROUP</t>
  </si>
  <si>
    <t>Lưu thông tin case_file.id; mã nhóm; tên nhóm</t>
  </si>
  <si>
    <t>ANALYSIS_REPORT</t>
  </si>
  <si>
    <t>Lưu thông tin case_file.id; mã chứng khoán; mã chứng khoán</t>
  </si>
  <si>
    <t>ANALYSIS_ATTRIBUTE_DEFINE</t>
  </si>
  <si>
    <t>Lưu thông tin mã tiêu chí (ví dụ: ct_01_threshold_a); tên hiển thị tiêu chí (ví dụ: tỷ trọng đặt/khớp lệnh &gt; a% trong x ngày); mô tả chi tiết tiêu chí, dùng cho ba/sa</t>
  </si>
  <si>
    <t>ANALYSIS_ATTRIBUTE_VALUE</t>
  </si>
  <si>
    <t>Lưu thông tin analysis_attribute_def.id; quy trình: 1=sơ bộ, 2=thao túng, 3=nội gián, 4=liên thị trường; giá trị số (nếu data_type = number)</t>
  </si>
  <si>
    <t>ANALYSIS_DEFINE_REPORT_TEMPLATE</t>
  </si>
  <si>
    <t>ANALYSIS_EXECUTION_LOG</t>
  </si>
  <si>
    <t>Nhật ký: tên phân tích  biểu mẫu; case_file.id; mã chứng khoán</t>
  </si>
  <si>
    <t>ANALYSIS_SUSPICIOUS_ACCOUNT_CODE</t>
  </si>
  <si>
    <t>Lưu thông tin report_template.id; case_file.id; mã chứng khoán</t>
  </si>
  <si>
    <t>ANALYSIS_SUSPICIOUS_ACCOUNT</t>
  </si>
  <si>
    <t>ANALYSIS_ACCOUNT_RELATIONSHIP</t>
  </si>
  <si>
    <t>ANALYSIS_ACCOUNT_GROUP</t>
  </si>
  <si>
    <t>ANALYSIS_ACCOUNT_GROUP_MEMBER</t>
  </si>
  <si>
    <t>Lưu thông tin mã chứng khoán; mã chứng khoán; 1=sơ bộ
2=thao túng
3=nội gián
4=liên thị trường</t>
  </si>
  <si>
    <t>ANALYSIS_WORKFLOW</t>
  </si>
  <si>
    <t>Lưu thông tin tên quy trình; 1=sơ bộ
2=thao túng
3=nội gián
4=liên thị trường; workflow nguồn được dùng để clone</t>
  </si>
  <si>
    <t>ANALYSIS_WORKFLOW_TEMPLATE</t>
  </si>
  <si>
    <t>Mẫu biểu: analysis_workflow.id; report_templaate.id; 1=báo cáo tổng hợp, 2=báo cáo phân tích</t>
  </si>
  <si>
    <t>ANALYSIS_WORKFLOW_USER</t>
  </si>
  <si>
    <t>Lưu thông tin analysis_workflow.id; 0=không hoạt động,
1=hoạt động; thứ tự hiển thị</t>
  </si>
  <si>
    <t>ABNORMAL_REPORT_TEMPLATE</t>
  </si>
  <si>
    <t>Mẫu biểu: mã mẫu báo cáo bất thường; tên mẫu báo cáo bất thường; nhóm nghiệp vụ/phân loại báo cáo bất thường nếu có</t>
  </si>
  <si>
    <t>ABNORMAL_REPORT_FORM_TEMPLATE</t>
  </si>
  <si>
    <t>Mẫu biểu: mã biểu mẫu excel của báo cáo bất thường; tên biểu mẫu; bắt buộc upload: 0=tùy chọn, 1=bắt buộc</t>
  </si>
  <si>
    <t>ABNORMAL_REPORT_CONFIG</t>
  </si>
  <si>
    <t>Cấu hình: mã cột (vd: col_01, col_02). dùng làm key trong json row_data; nhãn hiển thị cột (header excel); kiểu dữ liệu: text, number, date, boolean</t>
  </si>
  <si>
    <t>ABNORMAL_REPORT_MASTER</t>
  </si>
  <si>
    <t>Lưu thông tin mã báo cáo hệ thống sinh, phục vụ tra cứu/export; tên báo cáo bất thường do người nộp nhập hoặc lấy từ template; phân loại báo cáo bất thường nếu có danh mục phân loại</t>
  </si>
  <si>
    <t>ABNORMAL_REPORT_FORM</t>
  </si>
  <si>
    <t>Lưu thông tin số lần nộp tương ứng với file parse; tên file excel gốc khi upload; đường dẫn lưu trữ trên minio/storage</t>
  </si>
  <si>
    <t>ABNORMAL_REPORT_DATA</t>
  </si>
  <si>
    <t>Lưu thông tin thứ tự dòng (bắt đầu từ 1); dữ liệu dòng dạng json. key = column_code từ abnormal_report_config; trạng thái validate: 0=lỗi, 1=hợp lệ. null=chưa validate</t>
  </si>
  <si>
    <t>COMPLIANCE_REPORT_TEMPLATE</t>
  </si>
  <si>
    <t>Mẫu biểu báo cáo tuân thủ: mã phụ lục, tên đầy đủ, chu kỳ báo cáo (ngày/tuần/tháng)</t>
  </si>
  <si>
    <t>COMPLIANCE_REPORT_FORM_TEMPLATE</t>
  </si>
  <si>
    <t>Mẫu biểu: mã biểu mẫu (vd: pl01_w_f01, pl01_w_f02); tên biểu mẫu (vd: "mẫu số 1 - báo cáo tổng hợp giao dịch"); bắt buộc upload: 0=tùy chọn, 1=bắt buộc</t>
  </si>
  <si>
    <t>COMPLIANCE_REPORT_CONFIG</t>
  </si>
  <si>
    <t>COMPLIANCE_REPORT_MASTER</t>
  </si>
  <si>
    <t>Lưu thông tin kỳ báo cáo: daily, weekly, monthly, yearly; giá trị kỳ (vd: tuần 5, tháng 1); năm báo cáo</t>
  </si>
  <si>
    <t>COMPLIANCE_REPORT_FORM</t>
  </si>
  <si>
    <t>Lưu thông tin tên file excel gốc khi upload; đường dẫn lưu trữ trên minio/storage; kích thước file (bytes)</t>
  </si>
  <si>
    <t>COMPLIANCE_REPORT_DATA</t>
  </si>
  <si>
    <t>Lưu thông tin thứ tự dòng (bắt đầu từ 1); dữ liệu dòng dạng json. key = column_code từ compliance_report_config; trạng thái validate: 0=lỗi, 1=hợp lệ. null=chưa validate</t>
  </si>
  <si>
    <t>REPORT_COMMENT</t>
  </si>
  <si>
    <t>Lưu thông tin 1=tuân thủ, 2=bất thường; họ tên người nhận xét; mã định danh cá nhân</t>
  </si>
  <si>
    <t>REPORT_ATTACH_FILE</t>
  </si>
  <si>
    <t>Lưu thông tin 1=tuân thủ, 2=bất thường; 1=file phụ lục báo cáo (chính), 2=file tài liệu bổ sung; tên file gốc</t>
  </si>
  <si>
    <t>REPORT_TEMPLATE</t>
  </si>
  <si>
    <t>Mẫu biểu: mã mẫu báo cáo (bm001, bm002, etc.); loại: 1=quản lý thông tin, 2=tổng hợp dữ liệu, 3=phân tích chuyên sâu; cấu hình mẫu (json)</t>
  </si>
  <si>
    <t>REPORT_TEMPLATE_WORKFLOW</t>
  </si>
  <si>
    <t>Lưu thông tin 1=sơ bộ, 2=thao túng, 3=nội gián, 4=liên thị trường; biểu mẫu báo cáo được coi là trọng yếu; 1=báo cáo tổng hợp
2=báo cáo phân tích</t>
  </si>
  <si>
    <t>DOCUMENT_TEMPLATE_FIELD</t>
  </si>
  <si>
    <t>Lưu thông tin tên hiển thị placeholder trên ui; mã placeholder bóc tách (không bao gồm dấu [[ ]]); null khi input_format=4; kiểu nhập: 1=textbox, 2=date picker, 3=text area, 4=upload file excel</t>
  </si>
  <si>
    <t>DOCUMENT_TEMPLATE_EXCEL_COLUMN</t>
  </si>
  <si>
    <t>Lưu thông tin mã placeholder trong tệp word mà cột excel này điền giá trị (không bao gồm dấu [[ ]]); vị trí cột excel: chữ cái (a, ab) hoặc số (1, 28); thứ tự hiển thị / thứ tự đọc</t>
  </si>
  <si>
    <t>DOCUMENT_OUTGOING</t>
  </si>
  <si>
    <t>Lưu thông tin tên văn bản đi — mặc định = template name, user có thể override; json { "field_code_1": "value_1", ... } cho field input_format ∈ {1,2,3}; tên file excel user upload</t>
  </si>
  <si>
    <t>INVESTOR_ACCOUNT_HISTORY</t>
  </si>
  <si>
    <t>Lịch sử thay đổi: số tài khoản; ngày thay đổi; loại thay đổi</t>
  </si>
  <si>
    <t>ACCOUNT_GROUP_HISTORY</t>
  </si>
  <si>
    <t>Lịch sử thay đổi: mã nhóm; ngày thay đổi; loại thay đổi</t>
  </si>
  <si>
    <t>COMPANY_EVENT_HISTORY</t>
  </si>
  <si>
    <t>Lịch sử thay đổi: ngày thay đổi; loại thay đổi; giá trị cũ</t>
  </si>
  <si>
    <t>SECURITIES_GROUP_HISTORY</t>
  </si>
  <si>
    <t>REPORT_PARAMETER_HISTORY_LOG</t>
  </si>
  <si>
    <t>Nhật ký: 0= delete
1=update; lý do cập nhật/xóa hoặc lý do thao tác thất bại; snapshot dữ liệu trước thay đổi</t>
  </si>
  <si>
    <t>ANALYSIS_WORKFLOW_HISTORY_LOG</t>
  </si>
  <si>
    <t>REPORT_PROCESS_HISTORY</t>
  </si>
  <si>
    <t>Lịch sử thay đổi: 1=báo cáo tuân thủ, 2=báo cáo bất thường; 1=nộp báo cáo, 
2=kiểm tra tự động, 
3=chờ duyệt, 
4=phê duyệt, 
5=từ chối, 
6=phân công xử lý, 
7=huỷ phân công, 
8=yêu cầu nộp bổ sung, 
9=nộp bổ sung; tên người thực hiện. "hệ thống" nếu tự động</t>
  </si>
  <si>
    <t>MASTER_DATA</t>
  </si>
  <si>
    <t>Giám sát giao dịch trực tuyến (Q3)</t>
  </si>
  <si>
    <t>COMPANIES_GENERAL_INFO</t>
  </si>
  <si>
    <t>COMPANIES</t>
  </si>
  <si>
    <t>IT_PERSONNEL</t>
  </si>
  <si>
    <t>REPORT_OBLIGATION</t>
  </si>
  <si>
    <t>REPORT_TEMPLATE_FIELD</t>
  </si>
  <si>
    <t>XXX</t>
  </si>
  <si>
    <t>SYSTEM_INSPECTION_HISTORY</t>
  </si>
  <si>
    <t>RISK_INDICATOR_CATEGORY</t>
  </si>
  <si>
    <t>Danh mục: bộ chỉ tiêu
1=trong nước
2=quốc tế; mã nhóm (vd: macro, monetary, stock_market); tên nhóm (vd: yếu tố vĩ mô)</t>
  </si>
  <si>
    <t>Quản lý rủi ro TTCK (Q16)</t>
  </si>
  <si>
    <t>RISK_INDICATOR_SCHEDULE</t>
  </si>
  <si>
    <t>Lưu thông tin chỉ tiêu (1-1); 1=giờ, 2=ngày, 3=tháng, 
4=quý, 5=năm; mỗi bao nhiêu đơn vị (vd: mỗi 2 ngày)</t>
  </si>
  <si>
    <t>RISK_REPORT_TYPE</t>
  </si>
  <si>
    <t>Danh mục loại: mã loại báo cáo (vd: market_status_period); tên loại báo cáo (vd: báo cáo nhanh hàng tháng); mô tả chi tiết</t>
  </si>
  <si>
    <t>RISK_INDICATOR_VALUE</t>
  </si>
  <si>
    <t>Lưu giá trị chỉ tiêu rủi ro theo kỳ (ngày/tháng/quý/năm) và ngày kỳ dữ liệu</t>
  </si>
  <si>
    <t>RISK_INDICATOR_CUSTOM</t>
  </si>
  <si>
    <t>Lưu thông tin tên chỉ tiêu (vd: gdp, cpi, chỉ số vnindex, lạm phát mỹ); đơn vị mặc định 
1=%
2=điểm
3=tỷ vnd
4=triệu usd
5=hợp đồng
6=cổ phiếu
7=công ty
8=vnd
9=số tài khoản
10=đơn vị tính; nguồn cảnh báo</t>
  </si>
  <si>
    <t>RISK_REPORT_PLACEHOLDER_CONFIG</t>
  </si>
  <si>
    <t>Cấu hình: loại báo cáo; mã placeholder trong template (vd: vn_index_value, market_cap_growth); kiểu dữ liệu
1=lấy từ db
2=công thức</t>
  </si>
  <si>
    <t>RISK_REPORT_UPLOAD_BATCH</t>
  </si>
  <si>
    <t>Lưu thông tin loại báo cáo; thời gian báo cáo (do người dùng chọn khi upload); số lượng file trong batch</t>
  </si>
  <si>
    <t>RISK_REPORT_FILE</t>
  </si>
  <si>
    <t>Lưu thông tin tên file hiển thị (vd: báo cáo ttck q4-2025.docx); đường dẫn lưu file trên hệ thống (filesystem/object storage); dung lượng file (bytes)</t>
  </si>
  <si>
    <t>RISK_ALERT_CONFIG</t>
  </si>
  <si>
    <t>Cấu hình: 1=chỉ tiêu hệ thống
2=chỉ tiêu tự tạo; giá trị kỳ trước (cho chỉ tiêu tự tạo); giá trị kỳ này (cho chỉ tiêu tự tạo)</t>
  </si>
  <si>
    <t>RISK_ALERT</t>
  </si>
  <si>
    <t>Lưu thông tin cấu hình cảnh báo; 1=chỉ tiêu hệ thống
2=chỉ tiêu tự tạo; kỳ dữ liệu bị cảnh báo</t>
  </si>
  <si>
    <t>RISK_ALERT_RESOLUTION</t>
  </si>
  <si>
    <t>Lưu thông tin cảnh báo liên quan; 1=quick (không giải trình), 2=detailed (có giải trình); nội dung giải trình chi tiết</t>
  </si>
  <si>
    <t>RISK_ALERT_RESOLUTION_FILE</t>
  </si>
  <si>
    <t>Lưu thông tin giải trình liên quan; tên file; đường dẫn file trên hệ thống</t>
  </si>
  <si>
    <t>RISK_NOTIFICATION</t>
  </si>
  <si>
    <t>Lưu thông tin alert liên quan; 1=toast, 2=bell, 3=email; user nhận notification (cho type=1,2)</t>
  </si>
  <si>
    <t>RISK_INDICATOR_VALUE_HISTORY</t>
  </si>
  <si>
    <t>Lịch sử thay đổi: chỉ tiêu; giá trị cũ (null nếu là tạo mới); giá trị mới (null nếu là xóa)</t>
  </si>
  <si>
    <t>RISK_ALERT_HISTORY</t>
  </si>
  <si>
    <t>Lịch sử thay đổi: cảnh báo liên quan; xử lý cảnh báo; loại sự kiện: 
1=xảy ra cảnh báo
2=xử lý không giải trình
3=xử lý có giải trình</t>
  </si>
  <si>
    <t>INPUT_REPORT_TEMPLATE</t>
  </si>
  <si>
    <t>Mẫu biểu: mã báo cáo; tên báo cáo; căn cứ pháp lý</t>
  </si>
  <si>
    <t>Thống kê nội bộ (Q15)</t>
  </si>
  <si>
    <t>INPUT_REPORT_TEMPLATE_SHEET</t>
  </si>
  <si>
    <t>Lưu thông tin tên sheet; thứ tự sheet; vị trí dòng bắt đầu</t>
  </si>
  <si>
    <t>INPUT_REPORT_DEADLINE</t>
  </si>
  <si>
    <t>Lưu thông tin kỳ báo cáo: daily, monthly, quarterly, half_yearly, yearly; thời hạn báo cáo; đơn vị thời hạn: daily, hourly, weekly</t>
  </si>
  <si>
    <t>INPUT_REPORT</t>
  </si>
  <si>
    <t>Lưu thông tin kỳ nộp: daily, monthly, quarterly, half_yearly, yearly; giá trị kỳ nộp; giá trị date đại diện cho kỳ nộp</t>
  </si>
  <si>
    <t>INPUT_REPORT_SUBMISSION</t>
  </si>
  <si>
    <t>Lưu thông tin nguồn nộp: icp, cdw, kdl; trạng thái: overdue, submitted, not_submitted, late_submitted, resubmitted, cancelled; thời điểm nộp</t>
  </si>
  <si>
    <t>OUTPUT_REPORT_TEMPLATE</t>
  </si>
  <si>
    <t>OUTPUT_REPORT_DEADLINE</t>
  </si>
  <si>
    <t>OUTPUT_REPORT_SOURCE</t>
  </si>
  <si>
    <t>OUTPUT_REPORT</t>
  </si>
  <si>
    <t>Lưu thông tin kỳ báo cáo: daily, monthly, quarterly, half_yearly, yearly; giá trị kỳ; ngày bắt đầu kỳ</t>
  </si>
  <si>
    <t>OUTPUT_REPORT_GENERATE_JOB</t>
  </si>
  <si>
    <t>Lưu thông tin trạng thái job:    pending,
processing,completed,
failed; node đang chạy job; thông báo lỗi</t>
  </si>
  <si>
    <t>OUTPUT_REPORT_GENERATE_JOB_ITEM</t>
  </si>
  <si>
    <t>FACT_REPORT_DATA</t>
  </si>
  <si>
    <t>Lưu thông tin loại kỳ: daily, monthly, quarterly, half_yearly, yearly; giá trị kỳ gốc; ngày</t>
  </si>
  <si>
    <t>INPUT_REPORT_METRIC</t>
  </si>
  <si>
    <t>Lưu thông tin thứ tự chỉ tiêu trong cấp; tên chỉ tiêu; mã chỉ tiêu</t>
  </si>
  <si>
    <t>FILE_INFO</t>
  </si>
  <si>
    <t>Lưu thông tin tên file; định dạng file; key lưu trữ file minio</t>
  </si>
  <si>
    <t>REPORT_SEND_LOG</t>
  </si>
  <si>
    <t>Nhật ký: kiểu: input_report, output_report; mã báo cáo; tên báo cáo</t>
  </si>
  <si>
    <t>OUTPUT_REPORT_METRIC</t>
  </si>
  <si>
    <t>OUTPUT_REPORT_TEMPLATE_COMBO_USED</t>
  </si>
  <si>
    <t>Lưu thông tin mã chỉ tiêu; chỉ tiêu hợp lệ hay không:
1: có
0: không</t>
  </si>
  <si>
    <t>GOI_TIN</t>
  </si>
  <si>
    <t>Lưu các thông tin về dữ liệu gói tin truyền nhận giữa UBCKNN và Cục Thuế</t>
  </si>
  <si>
    <t>Kết nối trao đổi dữ liệu (Q19)</t>
  </si>
  <si>
    <t>CONG_TY_KIEM_TOAN</t>
  </si>
  <si>
    <t>Lưu các thông tin về công ty kiểm toán</t>
  </si>
  <si>
    <t>KIEM_TOAN_VIEN</t>
  </si>
  <si>
    <t>Lưu các thông tin về Kiểm toán viên</t>
  </si>
  <si>
    <t>THONG_TIN_CONG_TY</t>
  </si>
  <si>
    <t>Bảng lưu thông tin công ty bao gồm thông tin công ty đại chúng, công ty chứng khoán, công ty quản lý quỹ</t>
  </si>
  <si>
    <t>THONG_TIN_DK_THUE</t>
  </si>
  <si>
    <t>Bảng lưu thông tin đăng ký thuế được lấy từ Cục Thuế</t>
  </si>
  <si>
    <t>UBCK_XU_PHAT</t>
  </si>
  <si>
    <t>Bảng lưu các thông tin về xử phạt tại UBCKNN</t>
  </si>
  <si>
    <t>TCT_BAO_CAO</t>
  </si>
  <si>
    <t>Bảng lưu các báo cáo tài chỉnh lấy từ Cục Thuế</t>
  </si>
  <si>
    <t>TCT_BAO_CAO_CHI_TIET</t>
  </si>
  <si>
    <t>Bảng lưu các thông tin chi tiết của báo cáo tài chỉnh lấy từ Cục Thuế</t>
  </si>
  <si>
    <t>TCT_TT_CUONG_CHE_NO</t>
  </si>
  <si>
    <t>Bảng lưu các thông tin cưỡng chế nợ lấy từ Cục Thuế</t>
  </si>
  <si>
    <t>DN_RUI_RO_CAO</t>
  </si>
  <si>
    <t>Lưu các thông tin về Doanh nghiệp rủi ro cao được lấy về từ Cục Thuế</t>
  </si>
  <si>
    <t>TT_XLY_VI_PHAM</t>
  </si>
  <si>
    <t>Bảng lưu các thông tin xử lý vi phạm pháp luật về thuế</t>
  </si>
  <si>
    <t>UBCK_BAO_CAO</t>
  </si>
  <si>
    <t>Bảng lưu các báo cáo tài chính lấy từ các hệ thống của UBCKNN</t>
  </si>
  <si>
    <t>UBCK_BAO_CAO_CHI_TIET</t>
  </si>
  <si>
    <t>Bảng lưu các thông tin chi tiết của báo cáo tài chỉnh lấy từ các hệ thống tại UBCKNN</t>
  </si>
  <si>
    <t>TCT_TTCCN_HOA_DON</t>
  </si>
  <si>
    <t>Bảng lưu các thông tin cưỡng chế nợ thông qua hóa đơn</t>
  </si>
  <si>
    <t>HOA_DON_CHI_TIET</t>
  </si>
  <si>
    <t>Bảng lưu các thông tin cấu hình hóa đơn</t>
  </si>
  <si>
    <t>TTKDT_NGUOI_DAI_DIEN</t>
  </si>
  <si>
    <t>Bảng lưu các thông tin người đại diện của tổ chức/ doanh nghiệp nộp thuế</t>
  </si>
  <si>
    <t>CATEGORIES</t>
  </si>
  <si>
    <t>Bảng lưu trữ danh mục ngành nghề của công ty đại chúng.</t>
  </si>
  <si>
    <t>LOOKUP_VALUES</t>
  </si>
  <si>
    <t>Bảng lưu dữ liệu danh mục</t>
  </si>
  <si>
    <t>WARDS</t>
  </si>
  <si>
    <t>Lưu trữ thông tin xã/phường</t>
  </si>
  <si>
    <t>COMPANY_PROFILES</t>
  </si>
  <si>
    <t>Bảng lưu trữ thông tin hồ sơ và chi tiết công ty</t>
  </si>
  <si>
    <t>FOREIGN_OWNER_LIMIT</t>
  </si>
  <si>
    <t>Bảng giới hạn tỷ lệ sở hữu nước ngoài</t>
  </si>
  <si>
    <t>LEGAL_REPRESENTATIVE</t>
  </si>
  <si>
    <t>Bảng người đại diện pháp luật</t>
  </si>
  <si>
    <t>STATE_CAPITAL</t>
  </si>
  <si>
    <t>Bảng thông tin vốn nhà nước</t>
  </si>
  <si>
    <t>COMPANY_RELATIONSHIP</t>
  </si>
  <si>
    <t>Thông tin quan hệ công ty</t>
  </si>
  <si>
    <t>CAPITAL_MOBILIZATION</t>
  </si>
  <si>
    <t>Lưu thông tin về Qua trình tăng vốn trước khi thành đại chúng</t>
  </si>
  <si>
    <t>COMPANY_ADD_CAPITAL</t>
  </si>
  <si>
    <t>Lưu thông tin về Quá trình tăng vốn</t>
  </si>
  <si>
    <t>COMPANY_TENDER_OFFER</t>
  </si>
  <si>
    <t>Lưu thông tin phương án về quá trình chào mua công khai</t>
  </si>
  <si>
    <t>COMPANY_TREASURY_STOCKS</t>
  </si>
  <si>
    <t>Lưu thông tin về cổ phiếu quỹ</t>
  </si>
  <si>
    <t>COMPANY_INSPECTION</t>
  </si>
  <si>
    <t>Lưu thông tin về thanh tra, kiểm tra</t>
  </si>
  <si>
    <t>COMPANY_PENALTIES</t>
  </si>
  <si>
    <t>Lưu thông tin về xử phạt hành chính</t>
  </si>
  <si>
    <t>REPORT_CATALOG</t>
  </si>
  <si>
    <t>Bảng lưu mẫu biểu dữ liệu tài chính</t>
  </si>
  <si>
    <t>RROW</t>
  </si>
  <si>
    <t>Bảng lưu Chỉ tiêu tài chính</t>
  </si>
  <si>
    <t>RCOL</t>
  </si>
  <si>
    <t>REP_FORMS</t>
  </si>
  <si>
    <t>Bảng lưu sub form cho các mẫu báo cáo đầu vào khác</t>
  </si>
  <si>
    <t>REP_ROW</t>
  </si>
  <si>
    <t>Bảng lưu hàng trong sub form cho các mẫu báo cáo đầu vào khác</t>
  </si>
  <si>
    <t>REP_COLUMN</t>
  </si>
  <si>
    <t>Bảng lưu cột trong sub form cho các mẫu báo cáo đầu vào khác</t>
  </si>
  <si>
    <t>FIELDS</t>
  </si>
  <si>
    <t>Trường dữ liệu chi tiết</t>
  </si>
  <si>
    <t>FORM_FIELDS</t>
  </si>
  <si>
    <t>Lưu cấu hình trường dữ liệu của các mẫu báo cáo</t>
  </si>
  <si>
    <t>DATA_TYPES</t>
  </si>
  <si>
    <t>Lưu kiểu dữ liệu sử dụng cho các fields trong hệ thống</t>
  </si>
  <si>
    <t>ACCOUNT_NUMBERS</t>
  </si>
  <si>
    <t>Bảng lữu trữ tài khoản của cổ đông</t>
  </si>
  <si>
    <t>IDENTITY</t>
  </si>
  <si>
    <t>Bảng lữu trữ giấy tờ cổ đông</t>
  </si>
  <si>
    <t>STOCK_CONTROLS</t>
  </si>
  <si>
    <t>Lưu thông tin cổ phiếu hạn chế</t>
  </si>
  <si>
    <t>HOLDER_RELATIONSHIP</t>
  </si>
  <si>
    <t>Lưu thông tin quan hệ của NNB, NLQ….</t>
  </si>
  <si>
    <t>SMS_LOG</t>
  </si>
  <si>
    <t>Lưu trữ log gửi SMS</t>
  </si>
  <si>
    <t>REPORT_EXTENSIONS</t>
  </si>
  <si>
    <t>Lưu trữ dữ liệu gia hạn báo cáo định kỳ của công ty đại chúng</t>
  </si>
  <si>
    <t>COMPANY_DATA</t>
  </si>
  <si>
    <t>Lưu FORMS dữ liệu thuộc COMPANY_PROFILES</t>
  </si>
  <si>
    <t>DATA</t>
  </si>
  <si>
    <t>Lưu trữ dữ liệu của hàng và cột của báo cáo tài chính</t>
  </si>
  <si>
    <t>DATA_VALUES</t>
  </si>
  <si>
    <t>Lưu dữ liệu khi nhập vào tương ứng với các Form, Fields</t>
  </si>
  <si>
    <t>COMPANY_DIGITAL_CERTIFICATES</t>
  </si>
  <si>
    <t>Lưu trữ dữ liệu ký số của các công ty</t>
  </si>
  <si>
    <t>COMPANY_ENTITY_ROLE</t>
  </si>
  <si>
    <t>Lữu trữ thông tin vài trò cổ đông, người NB trong công ty đại chúng.</t>
  </si>
  <si>
    <t>COMPANY_SHAREHOLDING</t>
  </si>
  <si>
    <t>Lưu trữ thông tin cổ đông.</t>
  </si>
  <si>
    <t>COMPANY_SHARE_STATISTICS</t>
  </si>
  <si>
    <t>Lưu thông tin về số CP sau mỗi đợt mua/ bán</t>
  </si>
  <si>
    <t>EVALUATIONS</t>
  </si>
  <si>
    <t>Lưu trữ thông tin đánh giá công ty đại chúng.</t>
  </si>
  <si>
    <t>EVALUATION_CBONDS</t>
  </si>
  <si>
    <t>Lưu trữ dữ liệu xếp hạng trái phiếu (lấy từ sở HNX)</t>
  </si>
  <si>
    <t>EVALUATION_CRITERIA</t>
  </si>
  <si>
    <t>Lưu trữ chỉ tiêu đánh giá, xếp hạng công ty đại chúng.</t>
  </si>
  <si>
    <t>EVALUATION_DETAILS</t>
  </si>
  <si>
    <t>Lưu trữ chi tiết đánh giá, xếp hạng công ty đại chúng theo kỳ.</t>
  </si>
  <si>
    <t>EVALUATION_GROUPS</t>
  </si>
  <si>
    <t>Lưu trữ nhóm chỉ tiêu đánh giá, xếp hàng công ty đại chúng.</t>
  </si>
  <si>
    <t>EVALUATION_PERIODS</t>
  </si>
  <si>
    <t>Lưu trữ kỳ đánh giá, xếp hạng công ty đại chúng</t>
  </si>
  <si>
    <t>FIELDS_MGR</t>
  </si>
  <si>
    <t>FILES</t>
  </si>
  <si>
    <t>Lữu trữ thông tin file đính kèm của các object trong hệ thống.</t>
  </si>
  <si>
    <t>HOLIDAY_CALENDAR</t>
  </si>
  <si>
    <t>Lưu trữ dữ  liệu ngày nghỉ.</t>
  </si>
  <si>
    <t>HTE_VIOLATION_REPORT</t>
  </si>
  <si>
    <t>INTEGRATION_JOB_DEFINITION</t>
  </si>
  <si>
    <t>Định nghĩa job inbound — JOB_CODE khớp REST path + JobHandler bean trong DIS</t>
  </si>
  <si>
    <t>INTEGRATION_SYNC_LOG</t>
  </si>
  <si>
    <t>Job-level log cho mỗi lần xử lý tích hợp (Quartz job, Kafka message, outbound)</t>
  </si>
  <si>
    <t>INTG_FINANCIAL_STATEMENT</t>
  </si>
  <si>
    <t>Cấu hình mapping chỉ tiêu BCTC của IDS với Chỉ tiêu của Sở</t>
  </si>
  <si>
    <t>INTG_FORM_MAPPING</t>
  </si>
  <si>
    <t>Cấu hình mapping Form ID của Sở với Form ID của IDS</t>
  </si>
  <si>
    <t>INTG_IMPORT_DATA_LOG</t>
  </si>
  <si>
    <t>Lưu thông tin log import dữ liệu của Sở vào IDS</t>
  </si>
  <si>
    <t>INTG_REPORT_FIELD</t>
  </si>
  <si>
    <t>Cấu hình ràng buộc chỉ tiêu của từng báo cáo</t>
  </si>
  <si>
    <t>LEGAL_ENTITIES</t>
  </si>
  <si>
    <t>Bảng chứa thông tin Người nội bộ, Cổ đông (cá nhân, tổ chức), Người liên quan</t>
  </si>
  <si>
    <t>MANUAL_DOCUMENT</t>
  </si>
  <si>
    <t>Lưu trữ cấu hình tài liệu hướng dẫn trong hệ thống</t>
  </si>
  <si>
    <t>MIGRATION_EXECUTIONS</t>
  </si>
  <si>
    <t>MIGRATION_LOGS</t>
  </si>
  <si>
    <t>NOTIFICATIONS_DTL</t>
  </si>
  <si>
    <t>Lưu trữ đối tượng gửi thông báo chi tiết.</t>
  </si>
  <si>
    <t>PUB_COMPANY_CANCELLATION</t>
  </si>
  <si>
    <t>Thông tin lịch sử hủy đăng ký công ty đại chúng</t>
  </si>
  <si>
    <t>PUB_COMPANY_REGISTRATION</t>
  </si>
  <si>
    <t>Thông tin lịch sử đăng ký công ty đại chúng</t>
  </si>
  <si>
    <t>SECURITIES_OFFERING</t>
  </si>
  <si>
    <t>Lưu thông tin về Hoạt động chào bán, phát hành chứng khoán</t>
  </si>
  <si>
    <t>SECURITIES_OFFERING_PLAN</t>
  </si>
  <si>
    <t>SECURITIES_OFFERING_RESULT</t>
  </si>
  <si>
    <t>UBCK_SYNC_ITEM_LOG</t>
  </si>
  <si>
    <t>Log per-record cho job UBCK (CSDLTT) liên kết INTEGRATION_SYNC_LOG qua CORRELATION_ID</t>
  </si>
  <si>
    <t>VIOLATION_PENALTY_CONFIG</t>
  </si>
  <si>
    <t>Bảng cấu hình các mức phạt/xử lý khi vi phạm</t>
  </si>
  <si>
    <t>VIOLATION_REPORT</t>
  </si>
  <si>
    <t>Lưu trữ thông tin hạn nộp BC định kỳ của công ty đại chúng.</t>
  </si>
  <si>
    <t>VIOLATION_TEMPLATES</t>
  </si>
  <si>
    <t>Bảng lưu trữ thông tin cấu hình mẫu vi phạm</t>
  </si>
  <si>
    <t>AF_PROFILES</t>
  </si>
  <si>
    <t>Bảng lưu thông tin công ty kiểm toán</t>
  </si>
  <si>
    <t>AF_LEGAL_REPRESENTATIVE</t>
  </si>
  <si>
    <t>Bảng Người đại diện theo pháp luật</t>
  </si>
  <si>
    <t>AF_APPROVAL</t>
  </si>
  <si>
    <t>Bảng lưu thông tin quyết định chấp thuận</t>
  </si>
  <si>
    <t>AF_AUDITOR_PROFILES</t>
  </si>
  <si>
    <t>Lưu thông tin chung kiểm toán viên</t>
  </si>
  <si>
    <t>AF_WARNING</t>
  </si>
  <si>
    <t>Bảng lưu thông tin nhắc nhở</t>
  </si>
  <si>
    <t>AF_SANCTIONS</t>
  </si>
  <si>
    <t>Bảng lưu thông tin xử phạt</t>
  </si>
  <si>
    <t>AF_INSPECTION</t>
  </si>
  <si>
    <t>Bảng lưu thông tin kiểm tra công ty kiểm toán</t>
  </si>
  <si>
    <t>AF_SUSPENSION</t>
  </si>
  <si>
    <t>Bảng lưu thông tin đình chỉ</t>
  </si>
  <si>
    <t>AF_TECHNICAL_AUDIT</t>
  </si>
  <si>
    <t>Bảng lưu thông tin kiểm tra hồ sơ kiểm toán</t>
  </si>
  <si>
    <t>LOGIN_PERMISSION_BY_CODE</t>
  </si>
  <si>
    <t>Bảng LOGIN_PERMISSION_BY_CODE</t>
  </si>
  <si>
    <t>COMPANY_CHANGE_ROLE_HIS</t>
  </si>
  <si>
    <t>Lịch sử thay đổi thông tin quản lý công ty</t>
  </si>
  <si>
    <t>FORM_FIELD_HISTORY</t>
  </si>
  <si>
    <t>Lưu lại lịch sử khi cấu hình form_fields</t>
  </si>
  <si>
    <t>BOND_LISTING_HISTORY</t>
  </si>
  <si>
    <t>Lưu trữ lịch sử thông tin phát hành trái phiếu ra công chúng, trái phiếu riêng lẻ của công ty đại chúng.</t>
  </si>
  <si>
    <t>HISTORY_CHANGE_LOG</t>
  </si>
  <si>
    <t>Lưu trữ dữ liệu lịch sử thay đổi từng trường của các object trong hệ thống khi được cấu hình.</t>
  </si>
  <si>
    <t>STOCK_LISTING_HISTORY</t>
  </si>
  <si>
    <t>Thông tin lịch sử niêm yết/ đăng ký giao dịch cổ phiếu</t>
  </si>
  <si>
    <t>AF_AUDITOR_STATUS_HISTORY</t>
  </si>
  <si>
    <t>AF_STATUS_HISTORY</t>
  </si>
  <si>
    <t>Bảng lưu lịch sử trạng thái</t>
  </si>
  <si>
    <t>Trạng thái</t>
  </si>
  <si>
    <t>Đã thiết kế</t>
  </si>
  <si>
    <t>IDS – Hệ thống dữ liệu nhận dạng tổ chức</t>
  </si>
  <si>
    <t>Thủ tục hành chính (TTHC)</t>
  </si>
  <si>
    <t>DANH SÁCH CHI TIẾT BẢNG HỆ THỐNG (461 bảng – để review)</t>
  </si>
  <si>
    <t>Nhóm bảng</t>
  </si>
  <si>
    <t>Phân loại hệ thống</t>
  </si>
  <si>
    <t>Ghi chú (review)</t>
  </si>
  <si>
    <t>DATABASECHANGELOG</t>
  </si>
  <si>
    <t>Lưu thông tin người viết changeset; file chứa changeset; thời điểm changeset được chạy</t>
  </si>
  <si>
    <t>Mô tả chung</t>
  </si>
  <si>
    <t>Migration / Schema version</t>
  </si>
  <si>
    <t>DATABASECHANGELOGLOCK</t>
  </si>
  <si>
    <t>Lưu thông tin trạng thái lock 
(1: khóa, 0: không khóa); thời điểm lock được cấp; thông tin người log</t>
  </si>
  <si>
    <t>LOG_DATA_CHANGES</t>
  </si>
  <si>
    <t>Lưu thông tin tên application; client ip; username</t>
  </si>
  <si>
    <t>Log / Audit</t>
  </si>
  <si>
    <t>AUDIT_FIRM</t>
  </si>
  <si>
    <t>Công ty kiểm toán</t>
  </si>
  <si>
    <t>Nhóm bảng AUDIT – Kiểm toán</t>
  </si>
  <si>
    <t>DIGITAL_CERTIFICATE</t>
  </si>
  <si>
    <t>Chứng thư số</t>
  </si>
  <si>
    <t>Nhóm bảng CERT – Chứng thư số</t>
  </si>
  <si>
    <t>Chứng thư số / Token</t>
  </si>
  <si>
    <t>LNK_FUNCTION_USER</t>
  </si>
  <si>
    <t>Liên kết chức năng và người dùng</t>
  </si>
  <si>
    <t>Nhóm bảng LNK – Liên kết &amp; Phân quyền</t>
  </si>
  <si>
    <t>Quản lý người dùng</t>
  </si>
  <si>
    <t>LNK_FUNCTION_USER_GROUP</t>
  </si>
  <si>
    <t>Liên kết chức năng và nhóm người dùng</t>
  </si>
  <si>
    <t>PERMISSION_DATA</t>
  </si>
  <si>
    <t>Phân quyền dữ liệu</t>
  </si>
  <si>
    <t>Phân quyền / Vai trò</t>
  </si>
  <si>
    <t>PERMISSION_INPUT_REPORT</t>
  </si>
  <si>
    <t>Phân quyền nhập liệu báo cáo</t>
  </si>
  <si>
    <t>PERMISSION_INPUT_REPORT_EVENT</t>
  </si>
  <si>
    <t>Phân quyền sự kiện nhập liệu báo cáo</t>
  </si>
  <si>
    <t>PERMISSION_OUTPUT_REPORT</t>
  </si>
  <si>
    <t>Phân quyền khai thác báo cáo</t>
  </si>
  <si>
    <t>PERMISSION_OUTPUT_REPORT_FORM</t>
  </si>
  <si>
    <t>Phân quyền biểu mẫu báo cáo khai thác</t>
  </si>
  <si>
    <t>MESSAGE</t>
  </si>
  <si>
    <t>Tin nhắn nội bộ</t>
  </si>
  <si>
    <t>Nhóm bảng MSG – Tin nhắn &amp; Thông báo</t>
  </si>
  <si>
    <t>Hệ thống khác</t>
  </si>
  <si>
    <t>MESSAGE_RECIPIENT</t>
  </si>
  <si>
    <t>Người nhận tin nhắn</t>
  </si>
  <si>
    <t>NOTIFICATION</t>
  </si>
  <si>
    <t>Thông báo hệ thống</t>
  </si>
  <si>
    <t>SSC_NOTIFICATION</t>
  </si>
  <si>
    <t>Thông báo SSC</t>
  </si>
  <si>
    <t>SSC_NOTIFICATION_RECIPIENT</t>
  </si>
  <si>
    <t>Người nhận thông báo SSC</t>
  </si>
  <si>
    <t>SMSNEWS</t>
  </si>
  <si>
    <t>Dữ liệu tin tức SMS</t>
  </si>
  <si>
    <t>Nhóm bảng SMS – Dữ liệu SMS</t>
  </si>
  <si>
    <t>SMSOFFEROFSTOCKS</t>
  </si>
  <si>
    <t>Dữ liệu đề nghị cổ phiếu SMS</t>
  </si>
  <si>
    <t>SMSREPORTDATA</t>
  </si>
  <si>
    <t>Dữ liệu báo cáo SMS</t>
  </si>
  <si>
    <t>SMSTLLOG</t>
  </si>
  <si>
    <t>Log SMS tăng trưởng</t>
  </si>
  <si>
    <t>SMSVW_SECURITIES</t>
  </si>
  <si>
    <t>Danh sách chứng khoán SMS</t>
  </si>
  <si>
    <t>SMSVW_TLPROFILES</t>
  </si>
  <si>
    <t>View tổng hợp hồ sơ thành viên lưu ký (SMS) dùng cho giám sát</t>
  </si>
  <si>
    <t>HELP_DOCUMENT</t>
  </si>
  <si>
    <t>Tài liệu hỗ trợ</t>
  </si>
  <si>
    <t>Nhóm bảng SYS – Hệ thống &amp; Tiện ích</t>
  </si>
  <si>
    <t>Quản trị hệ thống</t>
  </si>
  <si>
    <t>LEGAL_DOCUMENT_LOOKUP</t>
  </si>
  <si>
    <t>Tra cứu văn bản pháp luật</t>
  </si>
  <si>
    <t>SCMS_SHEDLOCK</t>
  </si>
  <si>
    <t>Khóa phân tán tác vụ định kỳ</t>
  </si>
  <si>
    <t>Cấu hình / Hạ tầng</t>
  </si>
  <si>
    <t>SCMS_SYSTEM_PARAM</t>
  </si>
  <si>
    <t>Tham số hệ thống SCMS</t>
  </si>
  <si>
    <t>SCMS_WORKING_DAY</t>
  </si>
  <si>
    <t>Ngày làm việc SCMS</t>
  </si>
  <si>
    <t>SYS_AUDIT_LOG</t>
  </si>
  <si>
    <t>Log kiểm tra hệ thống</t>
  </si>
  <si>
    <t>SYS_CONFIG_PARAM</t>
  </si>
  <si>
    <t>Tham số cấu hình hệ thống</t>
  </si>
  <si>
    <t>SYS_EXPORT_FULL_01</t>
  </si>
  <si>
    <t>Xuất dữ liệu toàn bộ (phần 1)</t>
  </si>
  <si>
    <t>SYS_EXPORT_FULL_02</t>
  </si>
  <si>
    <t>Xuất dữ liệu toàn bộ (phần 2)</t>
  </si>
  <si>
    <t>SYS_FUNCTION</t>
  </si>
  <si>
    <t>Chức năng hệ thống</t>
  </si>
  <si>
    <t>SYS_FUNCTION_DETAIL</t>
  </si>
  <si>
    <t>Chi tiết chức năng hệ thống</t>
  </si>
  <si>
    <t>SYS_ORGANIZATION</t>
  </si>
  <si>
    <t>Cơ cấu tổ chức</t>
  </si>
  <si>
    <t>SYS_USER</t>
  </si>
  <si>
    <t>Người dùng hệ thống</t>
  </si>
  <si>
    <t>SYS_USER_BACKUP</t>
  </si>
  <si>
    <t>Sao lưu dữ liệu người dùng</t>
  </si>
  <si>
    <t>SYS_USER_GROUP</t>
  </si>
  <si>
    <t>Nhóm người dùng hệ thống</t>
  </si>
  <si>
    <t>SYS_USER_LOGIN_LOG</t>
  </si>
  <si>
    <t>Log đăng nhập người dùng</t>
  </si>
  <si>
    <t>SYS_WORKING_CALENDAR</t>
  </si>
  <si>
    <t>Lịch làm việc hệ thống</t>
  </si>
  <si>
    <t>Job / Scheduler</t>
  </si>
  <si>
    <t>CALENDAR</t>
  </si>
  <si>
    <t>Danh sách lịch làm việc và lịch nghỉ</t>
  </si>
  <si>
    <t>Nhóm bảng: Quản trị hệ thống</t>
  </si>
  <si>
    <t>Giám sát CTCK &amp; Quỹ ĐT (FMS)</t>
  </si>
  <si>
    <t>CERT_FCATE</t>
  </si>
  <si>
    <t>Danh sách chứng thư số của thành viên thị trường</t>
  </si>
  <si>
    <t>DYNAMIC_COLUMNS</t>
  </si>
  <si>
    <t>Cấu hình cột động cho các biểu mẫu</t>
  </si>
  <si>
    <t>DYNAMIC_TABLES</t>
  </si>
  <si>
    <t>Cấu hình bảng động cho các biểu mẫu</t>
  </si>
  <si>
    <t>ERROR_LOG</t>
  </si>
  <si>
    <t>Nhật ký lỗi hệ thống</t>
  </si>
  <si>
    <t>EVENT_TYPE</t>
  </si>
  <si>
    <t>EVENT_TYPE_AGENCY_TYPE</t>
  </si>
  <si>
    <t>Ánh xạ loại sự kiện và loại đại lý</t>
  </si>
  <si>
    <t>EVENT_TYPE_DATA_PERIOD</t>
  </si>
  <si>
    <t>Ánh xạ loại sự kiện và kỳ dữ liệu</t>
  </si>
  <si>
    <t>FLAG_RUN_CF</t>
  </si>
  <si>
    <t>Cờ kiểm soát tiến trình chạy cấu hình</t>
  </si>
  <si>
    <t>FMS_SHEDLOCK</t>
  </si>
  <si>
    <t>Quản lý khóa phân tán cho các tiến trình định kỳ</t>
  </si>
  <si>
    <t>FLYWAY_SCHEMA_HISTORY</t>
  </si>
  <si>
    <t>Lịch sử nâng cấp schema cơ sở dữ liệu (Flyway)</t>
  </si>
  <si>
    <t>GROUP_ROLES</t>
  </si>
  <si>
    <t>Phân quyền nhóm theo vai trò</t>
  </si>
  <si>
    <t>GROUPS</t>
  </si>
  <si>
    <t>Danh sách nhóm quyền chức năng</t>
  </si>
  <si>
    <t>GROUP_USERS</t>
  </si>
  <si>
    <t>Phân quyền người dùng theo nhóm</t>
  </si>
  <si>
    <t>INTEGRATION_CONFIG</t>
  </si>
  <si>
    <t>Cấu hình tích hợp hệ thống</t>
  </si>
  <si>
    <t>JOBS</t>
  </si>
  <si>
    <t>Danh mục chức danh/chức vụ</t>
  </si>
  <si>
    <t>MENUS</t>
  </si>
  <si>
    <t>Danh mục quyền chức năng/menu hệ thống</t>
  </si>
  <si>
    <t>REFRESH_TOKEN</t>
  </si>
  <si>
    <t>Quản lý token làm mới phiên đăng nhập</t>
  </si>
  <si>
    <t>ROLES</t>
  </si>
  <si>
    <t>Danh sách vai trò quyền chức năng</t>
  </si>
  <si>
    <t>ROLES_MENUS</t>
  </si>
  <si>
    <t>Phân quyền menu theo vai trò</t>
  </si>
  <si>
    <t>SYS_EMAIL</t>
  </si>
  <si>
    <t>Nội dung trao đổi thông tin qua email hệ thống</t>
  </si>
  <si>
    <t>SYS_VAR</t>
  </si>
  <si>
    <t>Danh sách tham số/biến hệ thống</t>
  </si>
  <si>
    <t>USERS</t>
  </si>
  <si>
    <t>Quản lý người dùng hệ thống</t>
  </si>
  <si>
    <t>USER_SESSIONS</t>
  </si>
  <si>
    <t>Quản lý phiên đăng nhập đang hoạt động</t>
  </si>
  <si>
    <t>USERS_MENUS</t>
  </si>
  <si>
    <t>Phân quyền chức năng trực tiếp cho người dùng</t>
  </si>
  <si>
    <t>USER_RPT_I</t>
  </si>
  <si>
    <t>Phân quyền người dùng với báo cáo đầu vào</t>
  </si>
  <si>
    <t>USER_RPT_O</t>
  </si>
  <si>
    <t>Phân quyền người dùng với báo cáo đầu ra</t>
  </si>
  <si>
    <t>TABS_INFO</t>
  </si>
  <si>
    <t>Thiết lập hiển thị dữ liệu theo tab</t>
  </si>
  <si>
    <t>Nhóm bảng: Quản lý báo cáo</t>
  </si>
  <si>
    <t>FOLDER</t>
  </si>
  <si>
    <t>Danh sách thư mục tổ chức báo cáo</t>
  </si>
  <si>
    <t>GUIDE_FILE</t>
  </si>
  <si>
    <t>Danh sách tài liệu hướng dẫn/biểu mẫu mẫu</t>
  </si>
  <si>
    <t>DOCUMENT</t>
  </si>
  <si>
    <t>Quản lý tài liệu đính kèm hồ sơ</t>
  </si>
  <si>
    <t>Platform hạ tầng (TTHC)</t>
  </si>
  <si>
    <t>SELF_SET_PD</t>
  </si>
  <si>
    <t>Thành viên tự thiết lập kỳ gửi báo cáo</t>
  </si>
  <si>
    <t>SHEET_CELL_CONFIG</t>
  </si>
  <si>
    <t>Cấu hình ô dữ liệu trong sheet báo cáo</t>
  </si>
  <si>
    <t>SHEET_OUT_BAK_BMBCDR</t>
  </si>
  <si>
    <t>Bản sao lưu sheet báo cáo đầu ra (BMBCDR)</t>
  </si>
  <si>
    <t>CHART_OUT</t>
  </si>
  <si>
    <t>Cấu hình biểu đồ kết quả đánh giá xếp loại</t>
  </si>
  <si>
    <t>Nhóm bảng: Quản lý đánh giá xếp hạng</t>
  </si>
  <si>
    <t>CDT_WARN</t>
  </si>
  <si>
    <t>Danh sách cảnh báo theo điều kiện</t>
  </si>
  <si>
    <t>Nhóm bảng: Cảnh báo vi phạm</t>
  </si>
  <si>
    <t>PARA_WARN</t>
  </si>
  <si>
    <t>Danh sách tham số cảnh báo</t>
  </si>
  <si>
    <t>Nhóm bảng: Thông báo</t>
  </si>
  <si>
    <t>FMS_AGENT_MAPPING</t>
  </si>
  <si>
    <t>Ánh xạ đại lý trong hệ thống FMS</t>
  </si>
  <si>
    <t>Nhóm bảng: Chuyển đổi dữ liệu</t>
  </si>
  <si>
    <t>FMS_INDICATOR_CATALOG</t>
  </si>
  <si>
    <t>Danh mục chỉ tiêu của hệ thống FMS</t>
  </si>
  <si>
    <t>FMS_REFERENCE_CATALOG</t>
  </si>
  <si>
    <t>Danh mục tham chiếu của hệ thống FMS</t>
  </si>
  <si>
    <t>LOG_CONVERT_DATA</t>
  </si>
  <si>
    <t>Nhật ký chuyển đổi dữ liệu</t>
  </si>
  <si>
    <t>LOG_CONVERT_DATA_2</t>
  </si>
  <si>
    <t>Nhật ký chuyển đổi dữ liệu (bổ sung)</t>
  </si>
  <si>
    <t>Nhóm bảng: Kiểm toán</t>
  </si>
  <si>
    <t>AUDIT_FIRM_REMINDER</t>
  </si>
  <si>
    <t>Nhắc nhở/yêu cầu từ công ty kiểm toán</t>
  </si>
  <si>
    <t>AUDIT_FIRM_REMINDER_ATTACHMENT</t>
  </si>
  <si>
    <t>File đính kèm của nhắc nhở kiểm toán</t>
  </si>
  <si>
    <t>Quản trị phân hệ</t>
  </si>
  <si>
    <t>USERSMENUS</t>
  </si>
  <si>
    <t>lưu danh sách quyền được phân cho người dùng</t>
  </si>
  <si>
    <t>USERSMENUS_CLONE</t>
  </si>
  <si>
    <t>lưu danh sách quyền người dùng (clone)</t>
  </si>
  <si>
    <t>USERRPTI</t>
  </si>
  <si>
    <t>lưu danh sách phân quyền sử dụng báo cáo đầu vào</t>
  </si>
  <si>
    <t>USERRPTO</t>
  </si>
  <si>
    <t>lưu danh sách phân quyền sử dụng báo cáo đầu ra</t>
  </si>
  <si>
    <t>REFRESHTOKEN</t>
  </si>
  <si>
    <t>lưu danh sách các phiên làm việc của người dùng</t>
  </si>
  <si>
    <t>GROUPUSERS</t>
  </si>
  <si>
    <t>lưu danh sách người dùng được phân vào nhóm người dùng</t>
  </si>
  <si>
    <t>GROUPROLES</t>
  </si>
  <si>
    <t>lưu danh sách các quyền được phân cho nhóm người dùng</t>
  </si>
  <si>
    <t>ROLESMENUS</t>
  </si>
  <si>
    <t>lưu danh sách quyền của nhóm quyền</t>
  </si>
  <si>
    <t>MENUS_BU</t>
  </si>
  <si>
    <t>Lưu danh sách menu theo đơn vị</t>
  </si>
  <si>
    <t>MENU_CLONE</t>
  </si>
  <si>
    <t>Lưu danh sách menu (clone)</t>
  </si>
  <si>
    <t>MODULES</t>
  </si>
  <si>
    <t>Lưu danh sách module hệ thống</t>
  </si>
  <si>
    <t>PERMISSIONS</t>
  </si>
  <si>
    <t>Lưu danh sách phân quyền chi tiết</t>
  </si>
  <si>
    <t>CERTFCATE</t>
  </si>
  <si>
    <t>lưu danh sách chứng thư số</t>
  </si>
  <si>
    <t>ERRORLOG</t>
  </si>
  <si>
    <t>Lưu lịch sử lỗi hệ thống</t>
  </si>
  <si>
    <t>USERSESSIONS</t>
  </si>
  <si>
    <t>Lưu danh sách theo dõi tài khoản đang truy cập</t>
  </si>
  <si>
    <t>AUDIT_LOGS</t>
  </si>
  <si>
    <t>Lưu nhật ký kiểm toán hệ thống</t>
  </si>
  <si>
    <t>USER_DATA_PERMISSION</t>
  </si>
  <si>
    <t>Lưu phân quyền dữ liệu của người dùng</t>
  </si>
  <si>
    <t>API_MAPPINGS</t>
  </si>
  <si>
    <t>Lưu cấu hình ánh xạ API</t>
  </si>
  <si>
    <t>SHEDLOCK</t>
  </si>
  <si>
    <t>Bảng khóa lịch tác vụ (distributed lock)</t>
  </si>
  <si>
    <t>RPTOUTMANAGEMENT</t>
  </si>
  <si>
    <t>Lưu danh sách cấu hình gen file thống kê tự động</t>
  </si>
  <si>
    <t>Quản lý biểu mẫu báo cáo</t>
  </si>
  <si>
    <t>RPTOUTFILESAVE</t>
  </si>
  <si>
    <t>Lưu danh sách file thống kê đã được gen tự động</t>
  </si>
  <si>
    <t>REPORT_TEMPLATES</t>
  </si>
  <si>
    <t>Lưu danh sách mẫu báo cáo</t>
  </si>
  <si>
    <t>FORM_SCHEMAS</t>
  </si>
  <si>
    <t>Lưu danh sách schema biểu mẫu động</t>
  </si>
  <si>
    <t>FORM_SCHEMA_VERSIONS</t>
  </si>
  <si>
    <t>Lưu lịch sử phiên bản schema biểu mẫu động</t>
  </si>
  <si>
    <t>RPT_FIELD_CATALOG</t>
  </si>
  <si>
    <t>Lưu danh mục trường báo cáo</t>
  </si>
  <si>
    <t>RPT_FIELD_CATALOG_USAGE</t>
  </si>
  <si>
    <t>Lưu thông tin sử dụng trường báo cáo</t>
  </si>
  <si>
    <t>RPT_VALUE_CATALOG</t>
  </si>
  <si>
    <t>Lưu danh mục giá trị báo cáo</t>
  </si>
  <si>
    <t>DYNAMICCOLUMNS</t>
  </si>
  <si>
    <t>Lưu danh sách cột động</t>
  </si>
  <si>
    <t>DYNAMICCONNECTIONS</t>
  </si>
  <si>
    <t>Lưu danh sách kết nối động</t>
  </si>
  <si>
    <t>DYNAMICTABLES</t>
  </si>
  <si>
    <t>Lưu danh sách bảng động</t>
  </si>
  <si>
    <t>Quản lý danh mục dùng riêng</t>
  </si>
  <si>
    <t>CALENDARMANAGERMENT</t>
  </si>
  <si>
    <t>Lưu các thay đổi lịch hệ thống</t>
  </si>
  <si>
    <t>SYSVAR</t>
  </si>
  <si>
    <t>Bảng lưu danh sách các tham số hệ thống</t>
  </si>
  <si>
    <t>SELFSETPD</t>
  </si>
  <si>
    <t>Lưu danh sách cấu hình kỳ báo cáo do cán bộ UB tự thiết lập</t>
  </si>
  <si>
    <t>Gửi báo cáo</t>
  </si>
  <si>
    <t>RPTVALUESMANAGERMENT</t>
  </si>
  <si>
    <t>Lưu quản lý các bảng lưu giá trị của báo cáo</t>
  </si>
  <si>
    <t>PARAWARN</t>
  </si>
  <si>
    <t>Lưu danh sách tham số cảnh báo</t>
  </si>
  <si>
    <t>Cảnh báo vi phạm</t>
  </si>
  <si>
    <t>CDTWARN</t>
  </si>
  <si>
    <t>Lưu danh sách điều kiện cảnh báo</t>
  </si>
  <si>
    <t>Tiện ích</t>
  </si>
  <si>
    <t>EMAILSENTSYSTEM</t>
  </si>
  <si>
    <t>Lưu danh sách trao đổi thông tin</t>
  </si>
  <si>
    <t>SYSEMAIL</t>
  </si>
  <si>
    <t>lưu danh sách trao đổi thông tin gửi qua mail</t>
  </si>
  <si>
    <t>SYSTEMINTEGRATIONCONFIG</t>
  </si>
  <si>
    <t>Lưu danh sách cấu hình kết nối hệ thống</t>
  </si>
  <si>
    <t>Quản lý cấu hình kết nối</t>
  </si>
  <si>
    <t>SYSTEMINTEGRATIONDATA</t>
  </si>
  <si>
    <t>Lưu dữ liệu kết nối MSS</t>
  </si>
  <si>
    <t>RPTVALUES12016</t>
  </si>
  <si>
    <t>Bảng phân vùng theo năm/kỳ từ RPTVALUES. Cấu trúc giống RPTVALUES.</t>
  </si>
  <si>
    <t>RPTVALUES12017</t>
  </si>
  <si>
    <t>RPTVALUES12018</t>
  </si>
  <si>
    <t>RPTVALUES12019</t>
  </si>
  <si>
    <t>RPTVALUES12020</t>
  </si>
  <si>
    <t>RPTVALUES12021</t>
  </si>
  <si>
    <t>RPTVALUES12022</t>
  </si>
  <si>
    <t>RPTVALUES12023</t>
  </si>
  <si>
    <t>RPTVALUES12024</t>
  </si>
  <si>
    <t>RPTVALUES12026</t>
  </si>
  <si>
    <t>RPTVALUES122026</t>
  </si>
  <si>
    <t>RPTVALUES22016</t>
  </si>
  <si>
    <t>RPTVALUES22017</t>
  </si>
  <si>
    <t>RPTVALUES22018</t>
  </si>
  <si>
    <t>RPTVALUES22019</t>
  </si>
  <si>
    <t>RPTVALUES22020</t>
  </si>
  <si>
    <t>RPTVALUES22021</t>
  </si>
  <si>
    <t>RPTVALUES22022</t>
  </si>
  <si>
    <t>RPTVALUES22023</t>
  </si>
  <si>
    <t>RPTVALUES22024</t>
  </si>
  <si>
    <t>RPTVALUES22026</t>
  </si>
  <si>
    <t>RPTVALUES32016</t>
  </si>
  <si>
    <t>RPTVALUES32017</t>
  </si>
  <si>
    <t>RPTVALUES32018</t>
  </si>
  <si>
    <t>RPTVALUES32019</t>
  </si>
  <si>
    <t>RPTVALUES32020</t>
  </si>
  <si>
    <t>RPTVALUES32021</t>
  </si>
  <si>
    <t>RPTVALUES32022</t>
  </si>
  <si>
    <t>RPTVALUES32023</t>
  </si>
  <si>
    <t>RPTVALUES32024</t>
  </si>
  <si>
    <t>RPTVALUES32026</t>
  </si>
  <si>
    <t>RPTVALUES42024</t>
  </si>
  <si>
    <t>RPTVALUES42026</t>
  </si>
  <si>
    <t>RPTVALUES52024</t>
  </si>
  <si>
    <t>RPTVALUES52026</t>
  </si>
  <si>
    <t>RPTVALUES62023</t>
  </si>
  <si>
    <t>RPTVALUES62024</t>
  </si>
  <si>
    <t>RPTVALUES62026</t>
  </si>
  <si>
    <t>RPTVALUES72026</t>
  </si>
  <si>
    <t>RPTVALUES82026</t>
  </si>
  <si>
    <t>ACTION_LOGS</t>
  </si>
  <si>
    <t>Nhật ký hành động của người dùng: tên quyền, tên hành động, máy khách, chi tiết, kết quả thành công/thất bại, lỗi</t>
  </si>
  <si>
    <t>Thiết kế chi tiết các bảng</t>
  </si>
  <si>
    <t>BACKUPS</t>
  </si>
  <si>
    <t>Thông tin file sao lưu cơ sở dữ liệu: tên file, đường dẫn, loại backup (đầy đủ/tăng dần), thời gian tạo</t>
  </si>
  <si>
    <t>BACKUP_SCHEDULES</t>
  </si>
  <si>
    <t>Lịch tự động sao lưu cơ sở dữ liệu: loại lịch, giờ, phút, ngày trong tháng/tuần chạy backup</t>
  </si>
  <si>
    <t>DIGITAL_CERTIFICATES</t>
  </si>
  <si>
    <t>Chứng thư số (digital certificate) dùng để ký CCHN điện tử: subject, tên tổ chức, mã số thuế, serial, issuer, thời hạn, thumbprint</t>
  </si>
  <si>
    <t>DIGITAL_CERTIFICATE_USERS</t>
  </si>
  <si>
    <t>Phân công chứng thư số cho người dùng: ai dùng chứng thư nào với vai trò ký số gì</t>
  </si>
  <si>
    <t>DOCUMENT_SIGN_LOGS</t>
  </si>
  <si>
    <t>Nhật ký ký số tài liệu: ai ký, ký lúc nào, loại chữ ký, hash tài liệu đã ký</t>
  </si>
  <si>
    <t>EMAIL_LOGS</t>
  </si>
  <si>
    <t>Nhật ký gửi email trong hệ thống NHNCK: người nhận, địa chỉ email, tiêu đề, nội dung, trạng thái gửi, lỗi</t>
  </si>
  <si>
    <t>NOTIFICATIONS</t>
  </si>
  <si>
    <t>Thông báo trong hệ thống NHNCK: loại thông báo, loại hành động, nội dung, liên kết, người nhận, thời gian gửi/đọc</t>
  </si>
  <si>
    <t>NOTIFICATION_CONFIGURATIONS</t>
  </si>
  <si>
    <t>Cấu hình thông báo theo sự kiện nghiệp vụ: loại thông báo, kênh gửi (in-app/SMS/email), nội dung template, tham số, đối tượng nhận</t>
  </si>
  <si>
    <t>PERMISSION_ROLES</t>
  </si>
  <si>
    <t>Gán quyền hạn cho vai trò: role nào có permission nào</t>
  </si>
  <si>
    <t>SEND_AND_RECIEVE_LOGS</t>
  </si>
  <si>
    <t>Nhật ký gửi nhận dữ liệu tích hợp: loại request, nguồn dữ liệu, phương thức HTTP, đường dẫn, mã trạng thái, thời gian phản hồi, payload</t>
  </si>
  <si>
    <t>SIGNATURE_LOGS</t>
  </si>
  <si>
    <t>Nhật ký ký số hồ sơ/CCHN: liên kết hồ sơ và bản ghi CCHN với thông tin chữ ký số, hash, đường dẫn chứng chỉ</t>
  </si>
  <si>
    <t>SMS_LOGS</t>
  </si>
  <si>
    <t>Nhật ký gửi SMS trong hệ thống NHNCK: người nhận, số điện thoại, nội dung tin nhắn, trạng thái gửi, lỗi</t>
  </si>
  <si>
    <t>SYSTEM_PARAMETERS</t>
  </si>
  <si>
    <t>Tham số cấu hình hệ thống NHNCK: mã tham số, giá trị (NCLOB), kiểu dữ liệu, loại, hiển thị trên giao diện quản trị</t>
  </si>
  <si>
    <t>USER_ROLES</t>
  </si>
  <si>
    <t>Phân quyền người dùng theo vai trò: tài khoản nào có role nào</t>
  </si>
  <si>
    <t>2.1.12. Nhóm Hệ thống</t>
  </si>
  <si>
    <t>REPORT_PARAMETER</t>
  </si>
  <si>
    <t>Tham số: mã tham số. vd: market.price, market.price.change-rate; tên tham số; cấp tham số. 1=gốc, 2=con</t>
  </si>
  <si>
    <t>Phân hệ Giám sát giao dịch chứng khoán</t>
  </si>
  <si>
    <t>REPORT_TEMPLATE_PARAMETER</t>
  </si>
  <si>
    <t>Tham số: 1=mẫu báo cáo gốc, 2=workflow template, 3=workflow báo cáo theo vụ việc</t>
  </si>
  <si>
    <t>REPORT_ASSIGNMENT</t>
  </si>
  <si>
    <t>Lưu thông tin 1=báo cáo tuân thủ, 2=báo cáo bất thường; 1=phê duyệt (chỉ 1 người/báo cáo), 2=nhận xét (nhiều người/báo cáo); họ và tên người được phân công</t>
  </si>
  <si>
    <t>REPORT_ASSIGNMENT_NOTIFICATION</t>
  </si>
  <si>
    <t>Lưu thông tin 1=toast, 2=bell, 3=email; tiêu đề thông báo; nội dung thông báo</t>
  </si>
  <si>
    <t>USER_GROUP</t>
  </si>
  <si>
    <t>Lưu thông tin mã nhóm; mô tả; trạng thái: 0=khóa, 1=hoạt động</t>
  </si>
  <si>
    <t>USER_GROUP_MEMBER</t>
  </si>
  <si>
    <t>Lưu thông tin user_group.id</t>
  </si>
  <si>
    <t>SYSTEM_PERMISSION</t>
  </si>
  <si>
    <t>Lưu thông tin mã quyền; module; chức năng</t>
  </si>
  <si>
    <t>SYSTEM_CONFIG</t>
  </si>
  <si>
    <t>Cấu hình: khóa cấu hình; giá trị cấu hình; nhóm cấu hình: logging, api, maintenance, integration</t>
  </si>
  <si>
    <t>SYSTEM_PARAMETER</t>
  </si>
  <si>
    <t>Tham số: khóa tham số; giá trị tham số; loại: number, string, date, boolean</t>
  </si>
  <si>
    <t>AUDIT_LOG</t>
  </si>
  <si>
    <t>Nhật ký: tên đăng nhập; loại thực thể; mô tả hành động</t>
  </si>
  <si>
    <t>USER_TABLE_CONFIG</t>
  </si>
  <si>
    <t>Cấu hình: tên bảng/màn hình (vd: case_file, securities_code); mã màn hình; tên tab trong màn hình (vd: tab 1, 2, 3 thuộc màn hình a)</t>
  </si>
  <si>
    <t>DASHBOARD</t>
  </si>
  <si>
    <t>Lưu thông tin mã dashboard; tên dashboard; mô tả dashboard</t>
  </si>
  <si>
    <t>DASHBOARD_WIDGET</t>
  </si>
  <si>
    <t>Lưu thông tin mã widget; tên widget hiển thị trên ui; nhóm widget. 1=biểu đồ, 2=số liệu</t>
  </si>
  <si>
    <t>DASHBOARD_WIDGET_CHART</t>
  </si>
  <si>
    <t>Lưu thông tin kiểu hiển thị. ví dụ: pie, bar, line, area, number</t>
  </si>
  <si>
    <t>DASHBOARD_WIDGET_GROUP</t>
  </si>
  <si>
    <t>Lưu thông tin mã nhóm widget; tên nhóm widget; mô tả nhóm widget</t>
  </si>
  <si>
    <t>DASHBOARD_WIDGET_FILTER</t>
  </si>
  <si>
    <t>Lưu thông tin mã filter; tên filter hiển thị; kiểu dữ liệu filter. string, number, date, boolean</t>
  </si>
  <si>
    <t>DASHBOARD_WIDGET_GROUP_FILTER</t>
  </si>
  <si>
    <t>Lưu thông tin thứ tự hiển thị filter trong nhóm</t>
  </si>
  <si>
    <t>DASHBOARD_ADMIN_CONFIG</t>
  </si>
  <si>
    <t>Cấu hình: version cấu hình hiện hành của user trên dashboard; trạng thái hiệu lực. 1=hiệu lực, 0=không hiệu lực</t>
  </si>
  <si>
    <t>DASHBOARD_ADMIN_CONFIG_VERSION</t>
  </si>
  <si>
    <t>Lưu thông tin nội dung thay đổi cấu hình; tên người thực hiện thay đổi; thời điểm thay đổi</t>
  </si>
  <si>
    <t>DASHBOARD_ADMIN_CONFIG_REGION</t>
  </si>
  <si>
    <t>Lưu thông tin tên vùng hiển thị, bắt buộc nhập (do người dùng đặt); thứ tự hiển thị của vùng trong dashboard (nhỏ trước, lớn sau)</t>
  </si>
  <si>
    <t>DASHBOARD_ADMIN_CONFIG_ROW</t>
  </si>
  <si>
    <t>Lưu thông tin số thứ tự hàng trong dashboard; số cột của hàng. giá trị hợp lệ: 1, 2, 3, 4; thứ tự hiển thị hàng</t>
  </si>
  <si>
    <t>DASHBOARD_ADMIN_CONFIG_ITEM</t>
  </si>
  <si>
    <t>Lưu thông tin vị trí cột của widget trong hàng; số cột mà widget chiếm trong hàng</t>
  </si>
  <si>
    <t>USER_MANUAL</t>
  </si>
  <si>
    <t>Lưu thông tin tiêu đề hướng dẫn; tên file; đường dẫn</t>
  </si>
  <si>
    <t>NOTIFICATION_RECIPIENT</t>
  </si>
  <si>
    <t>Lưu thông tin đã đọc chưa:
0=chưa,
1=đã đọc; thời điểm đọc; đã push sse chưa:
0=chưa,
1=đã push</t>
  </si>
  <si>
    <t>INVESTOR_ACCOUNT_DASHBOARD</t>
  </si>
  <si>
    <t>Lưu thông tin thời điểm job lấy dữ liệu; tổng số tài khoản; số tài khoản mở</t>
  </si>
  <si>
    <t>BUSINESS_DASHBOARD</t>
  </si>
  <si>
    <t>Lưu thông tin thời điểm job lấy dữ liệu; số lượng sự kiện của tổ chức niêm yết cần phê duyệt; số lượng tổ chức niêm yết</t>
  </si>
  <si>
    <t>PERMISSION_GROUP</t>
  </si>
  <si>
    <t>Lưu thông tin tên nhóm quyền; mô tả</t>
  </si>
  <si>
    <t>Phân hệ Quản lý rủi ro về thị trường chứng khoán</t>
  </si>
  <si>
    <t>PERMISSION_GROUP_USER</t>
  </si>
  <si>
    <t>Lưu thông tin người dùng được phân quyền
(user id); mã người dùng; tên người dùng được phân quyền</t>
  </si>
  <si>
    <t>PERMISSION_GROUP_INDICATOR</t>
  </si>
  <si>
    <t>Lưu thông tin chỉ tiêu
(indicator id)</t>
  </si>
  <si>
    <t>REPORT_PERMISSION_GROUP</t>
  </si>
  <si>
    <t>Lưu thông tin mã nhóm phân quyền; tên nhóm phân quyền; trạng thái: draft, active, expired, cancelled</t>
  </si>
  <si>
    <t>Phân hệ Thống kê nội bộ</t>
  </si>
  <si>
    <t>USER_PERMISSIONS_GROUP</t>
  </si>
  <si>
    <t>HT_THAM_SO</t>
  </si>
  <si>
    <t>Lưu các thông tin về tham số hệ thống</t>
  </si>
  <si>
    <t>Nhóm dữ liệu Quản trị hệ thống</t>
  </si>
  <si>
    <t>NHAT_KY_HE_THONG</t>
  </si>
  <si>
    <t>Lưu các thông tin về nhật ký phân hệ, các thao tác của người dùng trên phân hệ</t>
  </si>
  <si>
    <t>THIET_LAP_LICH</t>
  </si>
  <si>
    <t>Bảng lưu cấu hình lịch truyền/ nhận dữ liệu giữa UBCKNN và Cục Thuế</t>
  </si>
  <si>
    <t>DB_LOG</t>
  </si>
  <si>
    <t>Bảng lưu log truy vấn trên database</t>
  </si>
  <si>
    <t>LOGINS</t>
  </si>
  <si>
    <t>Bảng tài khoản đăng nhập</t>
  </si>
  <si>
    <t>2.1.1 Các mô hình quan hệ dữ liệu</t>
  </si>
  <si>
    <t>USER_AUDIT_LOG</t>
  </si>
  <si>
    <t>Bảng lưu log người dùng thao tác trên hệ thống</t>
  </si>
  <si>
    <t>SYS_PARAMETERS</t>
  </si>
  <si>
    <t>Lưu trữ cấu hình tham số hệ thống</t>
  </si>
  <si>
    <t>INTG_REPORT_CONFIG</t>
  </si>
  <si>
    <t>Lưu thông tin cấu hình mẫu báo cáo cần đẩy lên IDS</t>
  </si>
  <si>
    <t>INTG_SIGNATURE_CONFIG</t>
  </si>
  <si>
    <t>Cấu hình master cho các lịch trình và chữ ký chứng khoán (HNX, HOSE)</t>
  </si>
  <si>
    <t>CONTENTITEMINDEX</t>
  </si>
  <si>
    <t>Orchard Core - chỉ mục chính của tất cả content item (loại, trạng thái publish, chủ sở hữu, ngày, đường dẫn)</t>
  </si>
  <si>
    <t>Noi dung va cau truc du lieu</t>
  </si>
  <si>
    <t>ALIASPARTINDEX</t>
  </si>
  <si>
    <t>Orchard Core - chỉ mục lưu URL alias (đường dẫn tùy chỉnh) của content item</t>
  </si>
  <si>
    <t>AUTOROUTEPARTINDEX</t>
  </si>
  <si>
    <t>Orchard Core - chỉ mục lưu URL tự động sinh cho content item</t>
  </si>
  <si>
    <t>CONTAINEDPARTINDEX</t>
  </si>
  <si>
    <t>Orchard Core - chỉ mục theo dõi quan hệ cha-con giữa các content item</t>
  </si>
  <si>
    <t>INDEXINGTASK</t>
  </si>
  <si>
    <t>Orchard Core - hàng đợi tác vụ đánh chỉ mục nội dung đang chờ xử lý</t>
  </si>
  <si>
    <t>LAYERMETADATAINDEX</t>
  </si>
  <si>
    <t>Orchard Core - chỉ mục lưu metadata và quy tắc của widget layer</t>
  </si>
  <si>
    <t>DEPLOYMENTPLANINDEX</t>
  </si>
  <si>
    <t>Orchard Core - chỉ mục theo dõi các bước trong kế hoạch triển khai</t>
  </si>
  <si>
    <t>TAXONOMYINDEX</t>
  </si>
  <si>
    <t>Orchard Core - chỉ mục phân loại, ánh xạ content item với các nhãn phân loại</t>
  </si>
  <si>
    <t>BOOLEANFIELDINDEX</t>
  </si>
  <si>
    <t>Orchard Core - chỉ mục lưu giá trị trường boolean</t>
  </si>
  <si>
    <t>Field Indexes (truong du lieu)</t>
  </si>
  <si>
    <t>TEXTFIELDINDEX</t>
  </si>
  <si>
    <t>Orchard Core - chỉ mục lưu giá trị trường văn bản phục vụ lọc và tìm kiếm</t>
  </si>
  <si>
    <t>MULTITEXTFIELDINDEX</t>
  </si>
  <si>
    <t>Orchard Core - chỉ mục lưu giá trị trường văn bản đa giá trị</t>
  </si>
  <si>
    <t>HTMLFIELDINDEX</t>
  </si>
  <si>
    <t>Orchard Core - chỉ mục lưu giá trị trường HTML phục vụ tìm kiếm</t>
  </si>
  <si>
    <t>DATEFIELDINDEX</t>
  </si>
  <si>
    <t>Orchard Core - chỉ mục lưu giá trị trường ngày (date)</t>
  </si>
  <si>
    <t>DATETIMEFIELDINDEX</t>
  </si>
  <si>
    <t>Orchard Core - chỉ mục lưu giá trị trường ngày giờ (datetime)</t>
  </si>
  <si>
    <t>TIMEFIELDINDEX</t>
  </si>
  <si>
    <t>Orchard Core - chỉ mục lưu giá trị trường thời gian (time)</t>
  </si>
  <si>
    <t>NUMERICFIELDINDEX</t>
  </si>
  <si>
    <t>Orchard Core - chỉ mục lưu giá trị trường số</t>
  </si>
  <si>
    <t>LINKFIELDINDEX</t>
  </si>
  <si>
    <t>Orchard Core - chỉ mục lưu giá trị trường liên kết (link)</t>
  </si>
  <si>
    <t>CONTENTPICKERFIELDINDEX</t>
  </si>
  <si>
    <t>Orchard Core - chỉ mục lưu tham chiếu giữa các content item qua trường content picker</t>
  </si>
  <si>
    <t>USERPICKERFIELDINDEX</t>
  </si>
  <si>
    <t>Orchard Core - chỉ mục lưu tham chiếu trường chọn người dùng</t>
  </si>
  <si>
    <t>USERINDEX</t>
  </si>
  <si>
    <t>Orchard Core - chỉ mục người dùng chính (tên đăng nhập, email, chuẩn hóa, trạng thái kích hoạt)</t>
  </si>
  <si>
    <t>Nguoi dung va phan quyen co so</t>
  </si>
  <si>
    <t>USERBYLOGININFOINDEX</t>
  </si>
  <si>
    <t>Orchard Core - chỉ mục ánh xạ thông tin đăng nhập bên ngoài (Google/Facebook...) với người dùng</t>
  </si>
  <si>
    <t>USERBYCLAIMINDEX</t>
  </si>
  <si>
    <t>Orchard Core - chỉ mục ánh xạ giá trị claim với người dùng</t>
  </si>
  <si>
    <t>USERBYROLENAMEINDEX</t>
  </si>
  <si>
    <t>Orchard Core - chỉ mục ánh xạ tên vai trò với ID document người dùng</t>
  </si>
  <si>
    <t>USERBYROLENAMEINDEX_DOCUMENT</t>
  </si>
  <si>
    <t>Orchard Core - bảng liên kết chỉ mục tên vai trò với document người dùng</t>
  </si>
  <si>
    <t>OPENID_DOCUMENT</t>
  </si>
  <si>
    <t>Orchard Core YesSql - kho lưu trữ document JSON cho module OpenID</t>
  </si>
  <si>
    <t>OpenID Connect (OAuth2)</t>
  </si>
  <si>
    <t>OPENID_OPENIDAPPLICATIONINDEX</t>
  </si>
  <si>
    <t>Orchard Core - chỉ mục ứng dụng OpenID</t>
  </si>
  <si>
    <t>OPENID_OPENIDAUTHORIZATIONINDEX</t>
  </si>
  <si>
    <t>Orchard Core - chỉ mục ủy quyền OpenID</t>
  </si>
  <si>
    <t>OPENID_OPENIDTOKENINDEX</t>
  </si>
  <si>
    <t>Orchard Core - chỉ mục token OpenID</t>
  </si>
  <si>
    <t>OPENID_OPENIDSCOPEINDEX</t>
  </si>
  <si>
    <t>Orchard Core - chỉ mục scope OpenID</t>
  </si>
  <si>
    <t>OPENID_OPENIDSCOPEBYRESOURCEINDEX_OPENID_DOCUMENT</t>
  </si>
  <si>
    <t>Orchard Core - bảng liên kết chỉ mục scope theo resource với document OpenID</t>
  </si>
  <si>
    <t>OPENID_OPENIDAPPBYREDIRECTURIINDEX</t>
  </si>
  <si>
    <t>Orchard Core OpenID - chỉ mục ánh xạ redirect URI đến ứng dụng</t>
  </si>
  <si>
    <t>OPENID_OPENIDAPPBYLOGOUTURIINDEX</t>
  </si>
  <si>
    <t>Orchard Core OpenID - chỉ mục ánh xạ logout URI đến ứng dụng</t>
  </si>
  <si>
    <t>OPENID_OPENIDAPPBYROLENAMEINDEX</t>
  </si>
  <si>
    <t>Orchard Core OpenID - chỉ mục ánh xạ tên vai trò đến ứng dụng</t>
  </si>
  <si>
    <t>OPENID_OPENIDAPPBYREDIRECTURIINDEX_OPENID_DOCUMENT</t>
  </si>
  <si>
    <t>Orchard Core - bảng liên kết chỉ mục redirect URI với document OpenID</t>
  </si>
  <si>
    <t>OPENID_OPENIDAPPBYLOGOUTURIINDEX_OPENID_DOCUMENT</t>
  </si>
  <si>
    <t>Orchard Core - bảng liên kết chỉ mục logout URI với document OpenID</t>
  </si>
  <si>
    <t>OPENID_OPENIDAPPBYROLENAMEINDEX_OPENID_DOCUMENT</t>
  </si>
  <si>
    <t>Orchard Core - bảng liên kết chỉ mục vai trò với document OpenID</t>
  </si>
  <si>
    <t>OAUTH2_AUTHORIZATION</t>
  </si>
  <si>
    <t>Spring Authorization Server – bản ghi ủy quyền OAuth2: lưu authorization code, access token, refresh token của phiên đăng nhập</t>
  </si>
  <si>
    <t>OAUTH2_AUTHORIZATION_CONSENT</t>
  </si>
  <si>
    <t>Spring Authorization Server - bản ghi đồng ý cấp quyền OAuth2 scope của người dùng</t>
  </si>
  <si>
    <t>OAUTH2_REGISTERED_CLIENT</t>
  </si>
  <si>
    <t>Spring Authorization Server - danh sách OAuth2 client đã đăng ký (client_id, secret, scope, redirect URI)</t>
  </si>
  <si>
    <t>AUDIT_AUDITTRAILEVENTINDEX</t>
  </si>
  <si>
    <t>Orchard Core - chỉ mục sự kiện audit trail (lịch sử thao tác)</t>
  </si>
  <si>
    <t>Su kien (Audit)</t>
  </si>
  <si>
    <t>AUDIT_DOCUMENT</t>
  </si>
  <si>
    <t>Orchard Core YesSql - kho lưu trữ document JSON cho module audit</t>
  </si>
  <si>
    <t>NOTIFICATION_NOTIFICATIONINDEX</t>
  </si>
  <si>
    <t>Orchard Core - chỉ mục thông báo</t>
  </si>
  <si>
    <t>Thong bao (Notification)</t>
  </si>
  <si>
    <t>NOTIFICATION_DOCUMENT</t>
  </si>
  <si>
    <t>Orchard Core YesSql - kho lưu trữ document JSON cho module thông báo</t>
  </si>
  <si>
    <t>WORKFLOWINDEX</t>
  </si>
  <si>
    <t>Orchard Core - chỉ mục phiên bản quy trình đang chạy</t>
  </si>
  <si>
    <t>Workflow (Quy trinh)</t>
  </si>
  <si>
    <t>WORKFLOWTYPEINDEX</t>
  </si>
  <si>
    <t>Orchard Core - chỉ mục loại quy trình đã đăng ký</t>
  </si>
  <si>
    <t>WORKFLOWBLOCKINGACTIVITIESINDEX</t>
  </si>
  <si>
    <t>Orchard Core - chỉ mục quy trình theo dõi các hoạt động đang chặn thực thi</t>
  </si>
  <si>
    <t>WORKFLOWTYPESTARTACTIVITIESINDEX</t>
  </si>
  <si>
    <t>Orchard Core - chỉ mục ánh xạ hoạt động khởi đầu với loại quy trình</t>
  </si>
  <si>
    <t>TRIGGER_LOGS</t>
  </si>
  <si>
    <t>Nhật ký lịch sử thực thi trigger - ghi nhận mỗi lần trigger được kích hoạt và kết quả</t>
  </si>
  <si>
    <t>Triggers (he thong co so)</t>
  </si>
  <si>
    <t>TRIGGER_ACTION_LOGS</t>
  </si>
  <si>
    <t>Nhật ký thực thi từng bước hành động trong một lần chạy trigger</t>
  </si>
  <si>
    <t>He thong va cau hinh co so</t>
  </si>
  <si>
    <t>SMSPROVIDERCONFIG</t>
  </si>
  <si>
    <t>Cấu hình nhà cung cấp SMS (Viettel, Mobifone, VNPT, Twilio, AWS SNS)</t>
  </si>
  <si>
    <t>TVRP_USERS</t>
  </si>
  <si>
    <t>Người dùng ứng dụng - tài khoản người dùng cục bộ dùng cho RBAC (bổ sung cho Orchard UserIndex)</t>
  </si>
  <si>
    <t>TVRP - Nguoi dung va Phan quyen</t>
  </si>
  <si>
    <t>TVRP_ROLES</t>
  </si>
  <si>
    <t>Vai trò - các vai trò ứng dụng dùng trong phân quyền RBAC</t>
  </si>
  <si>
    <t>TVRP_USER_ROLES</t>
  </si>
  <si>
    <t>Gán vai trò người dùng - ánh xạ nhiều-nhiều giữa người dùng và vai trò</t>
  </si>
  <si>
    <t>TVRP_USER_ROLE_HISTORY</t>
  </si>
  <si>
    <t>Lịch sử vai trò người dùng - nhật ký kiểm toán việc gán và thu hồi vai trò</t>
  </si>
  <si>
    <t>TVRP_USER_SCOPES</t>
  </si>
  <si>
    <t>Phạm vi dữ liệu người dùng - phạm vi truy cập dữ liệu gán cho người dùng để bảo mật cấp hàng</t>
  </si>
  <si>
    <t>TVRP_SCOPE_TEMPLATES</t>
  </si>
  <si>
    <t>Mẫu phạm vi - mẫu định nghĩa phạm vi dữ liệu có thể tái sử dụng cho chính sách ABAC</t>
  </si>
  <si>
    <t>TVRP_USER_SCOPE_TEMPLATES</t>
  </si>
  <si>
    <t>Gán mẫu phạm vi người dùng - theo dõi các mẫu phạm vi đã được áp dụng cho người dùng</t>
  </si>
  <si>
    <t>TVRP_USER_SITES</t>
  </si>
  <si>
    <t>Gán site người dùng - ánh xạ người dùng với site trong cài đặt đa tenant</t>
  </si>
  <si>
    <t>TVRP_USER_ORG_UNITS</t>
  </si>
  <si>
    <t>Thành viên đơn vị tổ chức - ánh xạ người dùng với đơn vị tổ chức kèm loại quan hệ</t>
  </si>
  <si>
    <t>TVRP_ORG_UNITS</t>
  </si>
  <si>
    <t>Đơn vị tổ chức - cấu trúc tổ chức phân cấp (công ty, phòng ban, bộ phận, nhóm)</t>
  </si>
  <si>
    <t>TVRP_ORG_UNIT_SCOPES</t>
  </si>
  <si>
    <t>Phạm vi dữ liệu đơn vị tổ chức - các mục phạm vi dữ liệu liên quan đến đơn vị tổ chức</t>
  </si>
  <si>
    <t>TVRP_ROLE_ORGUNIT_BINDING</t>
  </si>
  <si>
    <t>Ràng buộc vai trò - đơn vị tổ chức - giới hạn phạm vi vai trò theo đơn vị tổ chức cụ thể</t>
  </si>
  <si>
    <t>TVRP_ROLE_SITE_BINDING</t>
  </si>
  <si>
    <t>Ràng buộc vai trò - site - giới hạn phạm vi vai trò theo site trong cài đặt đa tenant</t>
  </si>
  <si>
    <t>TVRP_SERVICE_ACCOUNTS</t>
  </si>
  <si>
    <t>Tài khoản dịch vụ - tài khoản xác thực M2M cho tích hợp hệ thống (xác thực khóa HMAC-SHA256)</t>
  </si>
  <si>
    <t>TVRP_SERVICE_ACCOUNT_KEYS</t>
  </si>
  <si>
    <t>Khóa API tài khoản dịch vụ - khóa HMAC được cấp cho tài khoản dịch vụ</t>
  </si>
  <si>
    <t>TVRP_SERVICE_ACCOUNT_PERMISSION</t>
  </si>
  <si>
    <t>Phân quyền tài khoản dịch vụ - quy tắc quyền hạn gán trực tiếp cho tài khoản dịch vụ</t>
  </si>
  <si>
    <t>TVRP_SECURITY_RESOURCES</t>
  </si>
  <si>
    <t>Danh mục tài nguyên bảo mật - cơ sở dữ liệu phân cấp của tất cả tài nguyên được bảo vệ trong hệ thống</t>
  </si>
  <si>
    <t>TVRP_RESOURCE_GRANT</t>
  </si>
  <si>
    <t>Cấp quyền tài nguyên - cấp quyền tạm thời cấp tài nguyên ngoài khung vai trò/chính sách thông thường</t>
  </si>
  <si>
    <t>TVRP_FIELD_PERMISSION</t>
  </si>
  <si>
    <t>Phân quyền trường dữ liệu - quy tắc ACL kiểm soát truy cập vào từng trường của content item</t>
  </si>
  <si>
    <t>TVRP_SOD_RULE</t>
  </si>
  <si>
    <t>Quy tắc phân tách nhiệm vụ (SoD) - định nghĩa các cặp quyền không tương thích để ngăn vi phạm SoD</t>
  </si>
  <si>
    <t>TVRP_DLG_AUTO_RULE</t>
  </si>
  <si>
    <t>Quy tắc ủy quyền tự động - quy tắc tự động tạo ủy quyền khi có sự kiện (ví dụ: người dùng gia nhập đơn vị)</t>
  </si>
  <si>
    <t>TVRP_DLG_EMERGENCY_GRANT</t>
  </si>
  <si>
    <t>Cấp quyền khẩn cấp - cấp quyền truy cập nâng cao cho tình huống khẩn cấp cần phê duyệt CEO/admin</t>
  </si>
  <si>
    <t>TVRP_DLG_EXTERNAL_PARTY</t>
  </si>
  <si>
    <t>Bên ngoài trong ủy quyền - tổ chức bên ngoài tham gia ủy quyền liên tổ chức</t>
  </si>
  <si>
    <t>TVRP_DLG_INBOX_READ_MARKER</t>
  </si>
  <si>
    <t>Đánh dấu đã đọc hộp thư ủy quyền - theo dõi các mục người dùng đã đọc</t>
  </si>
  <si>
    <t>TVRP_DLG_RECERT_CAMPAIGN</t>
  </si>
  <si>
    <t>Chiến dịch tái chứng nhận ủy quyền - đợt xem xét định kỳ theo lô cho các ủy quyền đang hoạt động</t>
  </si>
  <si>
    <t>TVRP_DLG_SOD_VIOLATION_LOG</t>
  </si>
  <si>
    <t>Nhật ký vi phạm phân tách nhiệm vụ (SoD) - ghi nhận các vi phạm quy tắc SoD</t>
  </si>
  <si>
    <t>TVRP_DLG_TEMPLATE</t>
  </si>
  <si>
    <t>Mẫu ủy quyền - mẫu ủy quyền được cấu hình sẵn cho các trường hợp ủy quyền phổ biến</t>
  </si>
  <si>
    <t>TVRP_DELEGATION_APPROVAL</t>
  </si>
  <si>
    <t>Phê duyệt ủy quyền - bản ghi phê duyệt hai lớp (maker-checker) cho yêu cầu ủy quyền</t>
  </si>
  <si>
    <t>TVRP_DELEGATION_AUDIT_LOG</t>
  </si>
  <si>
    <t>Nhật ký kiểm toán ủy quyền - lịch sử bất biến của mọi thay đổi trạng thái ủy quyền</t>
  </si>
  <si>
    <t>TVRP_DELEGATION_RECERTIFICATION</t>
  </si>
  <si>
    <t>Tái chứng nhận ủy quyền - bản ghi xem xét định kỳ để xác nhận hoặc thu hồi ủy quyền</t>
  </si>
  <si>
    <t>TVRP_USER_DELEGATION</t>
  </si>
  <si>
    <t>Ủy quyền người dùng - cấp cho người được ủy quyền thẩm quyền thay mặt người ủy quyền thực hiện công việc</t>
  </si>
  <si>
    <t>TVRP_USER_DELEGATION_RESOURCE</t>
  </si>
  <si>
    <t>Tài nguyên trong ủy quyền - các tài nguyên cụ thể được giới hạn phạm vi cho một ủy quyền</t>
  </si>
  <si>
    <t>TVRP_POLICY_AUDIT</t>
  </si>
  <si>
    <t>Kiểm toán chính sách - bản ghi kiểm toán ABAC/GDPR ghi lại mọi quyết định phân quyền</t>
  </si>
  <si>
    <t>TVRP_POLICY_AUDIT_CHAIN_LOCK</t>
  </si>
  <si>
    <t>Khóa chuỗi kiểm toán chính sách - đảm bảo tính toàn vẹn của chuỗi hash nhật ký kiểm toán</t>
  </si>
  <si>
    <t>TVRP_POLICY_CHANGE_REQUEST</t>
  </si>
  <si>
    <t>Yêu cầu thay đổi chính sách - bản ghi luồng xem xét và phê duyệt thay đổi chính sách bảo mật</t>
  </si>
  <si>
    <t>TVRP_PATTERN_COUNTER</t>
  </si>
  <si>
    <t>Bộ đếm mẫu - bộ đếm nguyên tử dùng để sinh mã/ID theo mẫu định sẵn</t>
  </si>
  <si>
    <t>TVRP_ACTION_RATE_COUNT</t>
  </si>
  <si>
    <t>Giới hạn tần suất hành động - đếm số lần gọi hành động trong cửa sổ thời gian để kiểm soát rate limit</t>
  </si>
  <si>
    <t>TVRP_WORKFLOW_ACTION_AUDIT_LOG</t>
  </si>
  <si>
    <t>Nhật ký kiểm toán hành động quy trình - ghi lại từng hành động quy trình được thực thi kèm snapshot kết quả</t>
  </si>
  <si>
    <t>TVRP - Workflow va Tien trinh</t>
  </si>
  <si>
    <t>TVRP_WORKFLOW_ACTIVITY_DEADLINE</t>
  </si>
  <si>
    <t>Hạn chót hoạt động quy trình - theo dõi hạn chót SLA cho từng hoạt động trong phiên bản quy trình</t>
  </si>
  <si>
    <t>TVRP_WORKFLOW_DEFINITION</t>
  </si>
  <si>
    <t>Định nghĩa quy trình - xác định trạng thái, chuyển tiếp, hoạt động và SLA cho một loại quy trình</t>
  </si>
  <si>
    <t>TVRP_WORKFLOW_INSTANCE</t>
  </si>
  <si>
    <t>Phiên bản quy trình - phiên bản đang chạy hoặc đã hoàn thành của một định nghĩa quy trình</t>
  </si>
  <si>
    <t>TVRP_WORKFLOW_REASSIGN_REQUEST</t>
  </si>
  <si>
    <t>Yêu cầu chuyển giao công việc - yêu cầu chuyển nhiệm vụ quy trình từ người này sang người khác</t>
  </si>
  <si>
    <t>TVRP_WORKFLOW_REASSIGN_RULE</t>
  </si>
  <si>
    <t>Quy tắc chuyển giao công việc - xác định điều kiện và phê duyệt cần thiết để chuyển giao nhiệm vụ</t>
  </si>
  <si>
    <t>TVRP_WORKFLOW_STATUS</t>
  </si>
  <si>
    <t>Trạng thái quy trình - các trạng thái có tên trong vòng đời quy trình (khởi đầu/trung gian/kết thúc)</t>
  </si>
  <si>
    <t>TVRP_WORKFLOW_STATUS_CATEGORY</t>
  </si>
  <si>
    <t>Danh mục trạng thái quy trình - nhóm các trạng thái quy trình theo giai đoạn</t>
  </si>
  <si>
    <t>TVRP_WORKFLOW_TYPE_VERSION</t>
  </si>
  <si>
    <t>Phiên bản loại quy trình - snapshot bất biến có versioning của loại quy trình Orchard</t>
  </si>
  <si>
    <t>TVRP_DECISION_TREE_EVAL_LOG</t>
  </si>
  <si>
    <t>Nhật ký đánh giá cây quyết định - ghi lại các bước đánh giá chính sách/điều kiện</t>
  </si>
  <si>
    <t>TVRP_DECISION_TREE_VERSION</t>
  </si>
  <si>
    <t>Phiên bản cây quyết định - snapshot có versioning của định nghĩa cây quyết định</t>
  </si>
  <si>
    <t>TVRP_NOTIFICATION_HISTORY</t>
  </si>
  <si>
    <t>Lịch sử thông báo - bản ghi thông báo đã gửi kèm trạng thái phân phối</t>
  </si>
  <si>
    <t>TVRP - Thong bao va Giao tiep</t>
  </si>
  <si>
    <t>TVRP_NOTIFICATION_PROVIDER</t>
  </si>
  <si>
    <t>Nhà cung cấp thông báo - cấu hình nhà cung cấp đa kênh (SMS/Zalo/Email/Push/Webhook)</t>
  </si>
  <si>
    <t>TVRP_NOTIFICATION_PROVIDER_PROPS</t>
  </si>
  <si>
    <t>Thuộc tính nhà cung cấp thông báo - các thuộc tính key-value cấu hình cho nhà cung cấp</t>
  </si>
  <si>
    <t>TVRP_CONFIGURATION_TRACE</t>
  </si>
  <si>
    <t>Lịch sử thay đổi cấu hình - audit trail cho mọi thay đổi giá trị cấu hình (tạo/sửa/xóa/khôi phục)</t>
  </si>
  <si>
    <t>TVRP - Cau hinh va He thong</t>
  </si>
  <si>
    <t>TVRP_CONFIGURATION_VALUE</t>
  </si>
  <si>
    <t>Kho lưu trữ cấu hình thống nhất - các giá trị cấu hình hệ thống/module với hỗ trợ kiểu dữ liệu, mã hóa và môi trường</t>
  </si>
  <si>
    <t>TVRP_CONFIG_EXPORT_MODULES</t>
  </si>
  <si>
    <t>Module trong gói xuất cấu hình - snapshot từng module trong một gói xuất cấu hình</t>
  </si>
  <si>
    <t>TVRP_CONFIG_EXPORT_PACKAGE</t>
  </si>
  <si>
    <t>Gói xuất cấu hình - bản snapshot cấu hình có thể di chuyển giữa các môi trường</t>
  </si>
  <si>
    <t>TVRP_CONFIG_TRANSLATION</t>
  </si>
  <si>
    <t>Bản dịch cấu hình - giá trị đã dịch theo ngôn ngữ cho các khóa cấu hình</t>
  </si>
  <si>
    <t>TVRP_SYSTEM_FLAGS</t>
  </si>
  <si>
    <t>Cờ tính năng hệ thống - kho lưu trữ bật/tắt tính năng động theo key-value</t>
  </si>
  <si>
    <t>TVRP_SYSTEM_TAXONOMIES</t>
  </si>
  <si>
    <t>Phân loại hệ thống - danh mục phân loại toàn nền tảng (trạng thái quy trình, danh mục nội dung...)</t>
  </si>
  <si>
    <t>TVRP_MIGRATION_TRACKING</t>
  </si>
  <si>
    <t>Theo dõi migration - ghi nhận trạng thái migration cấp module ngoài Flyway</t>
  </si>
  <si>
    <t>TVRP_UNIFIED_CONFIG_REVISION</t>
  </si>
  <si>
    <t>Phiên bản cấu hình thống nhất - snapshot có versioning các thay đổi cấu hình theo danh mục</t>
  </si>
  <si>
    <t>TVRP_GIT_INTEGRATION_CONFIG</t>
  </si>
  <si>
    <t>Cấu hình tích hợp Git - cài đặt cho xuất/nhập cấu hình qua Git</t>
  </si>
  <si>
    <t>TVRP_REDIS_AUDIT_LOG</t>
  </si>
  <si>
    <t>Nhật ký kiểm toán thao tác Redis - ghi lại các thao tác quản trị viên trên bộ nhớ đệm Redis</t>
  </si>
  <si>
    <t>TVRP_API_COLLECTION</t>
  </si>
  <si>
    <t>Bộ sưu tập API - nhóm các API connector và endpoint được tổ chức thành bộ sưu tập có thể tái sử dụng</t>
  </si>
  <si>
    <t>TVRP - API va Tich hop</t>
  </si>
  <si>
    <t>TVRP_API_CONNECTOR</t>
  </si>
  <si>
    <t>Kết nối API bên ngoài - cấu hình kết nối tới các dịch vụ REST/SOAP/GraphQL bên ngoài</t>
  </si>
  <si>
    <t>TVRP_API_ENDPOINT</t>
  </si>
  <si>
    <t>Điểm cuối API - endpoint riêng lẻ được phát hiện/nhập từ đặc tả API connector</t>
  </si>
  <si>
    <t>TVRP_DATABASE_CONNECTION</t>
  </si>
  <si>
    <t>Kết nối cơ sở dữ liệu - cấu hình kết nối DB ngoài để thực thi truy vấn SQL động</t>
  </si>
  <si>
    <t>TVRP_DATA_MAPPING</t>
  </si>
  <si>
    <t>Quy tắc ánh xạ dữ liệu - quy tắc chuyển đổi trường dữ liệu cho nền tảng tích hợp</t>
  </si>
  <si>
    <t>TVRP_ENDPOINT_ACCESS_POLICY</t>
  </si>
  <si>
    <t>Chính sách truy cập endpoint - quy tắc phân quyền endpoint API động (CHO PHÉP/TỪ CHỐI theo vai trò/phạm vi)</t>
  </si>
  <si>
    <t>TVRP_ENDPOINT_RULE_TEMPLATE</t>
  </si>
  <si>
    <t>Mẫu quy tắc endpoint - mẫu có thể tái sử dụng cho chính sách truy cập endpoint</t>
  </si>
  <si>
    <t>TVRP_INTEGRATION_ENDPOINT</t>
  </si>
  <si>
    <t>Endpoint tích hợp - cấu hình định tuyến và proxy cho nền tảng tích hợp</t>
  </si>
  <si>
    <t>TVRP_OAUTH2_CLIENT_META</t>
  </si>
  <si>
    <t>Metadata OAuth2 client - metadata mở rộng cho các OAuth2 client đã đăng ký</t>
  </si>
  <si>
    <t>TVRP_OAUTH2_PROVIDER</t>
  </si>
  <si>
    <t>Nhà cung cấp OAuth2 ngoài - cấu hình cho các nhà cung cấp OAuth2/OIDC bên ngoài</t>
  </si>
  <si>
    <t>TVRP_OD_API_KEY</t>
  </si>
  <si>
    <t>Khóa API dữ liệu mở - khóa API được cấp để truy cập các endpoint phân phối dữ liệu mở</t>
  </si>
  <si>
    <t>TVRP - Open Data</t>
  </si>
  <si>
    <t>TVRP_OD_CATALOG</t>
  </si>
  <si>
    <t>Danh mục dữ liệu mở - danh mục cấp cao nhất nhóm các tập dữ liệu theo chủ đề/lĩnh vực</t>
  </si>
  <si>
    <t>TVRP_OD_DATASET</t>
  </si>
  <si>
    <t>Tập dữ liệu mở - tập dữ liệu có versioning kèm lược đồ, phân phối và metadata quản trị</t>
  </si>
  <si>
    <t>TVRP_OD_DATASET_SCHEMA_BINDING</t>
  </si>
  <si>
    <t>Ràng buộc lược đồ tập dữ liệu - liên kết tập dữ liệu với hồ sơ lược đồ</t>
  </si>
  <si>
    <t>TVRP_OD_DATASET_SNAPSHOT_TAG</t>
  </si>
  <si>
    <t>Nhãn snapshot tập dữ liệu - nhãn đặt tên trỏ đến phiên bản cụ thể của tập dữ liệu</t>
  </si>
  <si>
    <t>TVRP_OD_DATASTORE_TABLE</t>
  </si>
  <si>
    <t>Bảng kho dữ liệu - bảng/view vật lý trong kho dữ liệu cho một phân phối</t>
  </si>
  <si>
    <t>TVRP_OD_DEV_APPLICATION</t>
  </si>
  <si>
    <t>Ứng dụng nhà phát triển - ứng dụng OAuth2 client đăng ký bởi người tiêu dùng API</t>
  </si>
  <si>
    <t>TVRP_OD_DISTRIBUTION</t>
  </si>
  <si>
    <t>Phân phối dữ liệu mở - định dạng/endpoint cụ thể của tập dữ liệu (CSV, API, SHP, WMS...)</t>
  </si>
  <si>
    <t>TVRP_OD_EXPORT_JOB</t>
  </si>
  <si>
    <t>Công việc xuất dữ liệu - tác vụ không đồng bộ xuất phiên bản tập dữ liệu ra tệp</t>
  </si>
  <si>
    <t>TVRP_OD_POLICY</t>
  </si>
  <si>
    <t>Chính sách truy cập dữ liệu mở - quy tắc truy cập dữ liệu áp dụng cho tập dữ liệu/phân phối</t>
  </si>
  <si>
    <t>TVRP_OD_PUBLISHER</t>
  </si>
  <si>
    <t>Nhà xuất bản dữ liệu mở - tổ chức hoặc đơn vị công bố dữ liệu mở</t>
  </si>
  <si>
    <t>TVRP_OD_QUALITY_RULE</t>
  </si>
  <si>
    <t>Quy tắc chất lượng dữ liệu mở - định nghĩa quy tắc kiểm tra chất lượng cho tập dữ liệu</t>
  </si>
  <si>
    <t>TVRP_OD_QUALITY_RULE_RUN</t>
  </si>
  <si>
    <t>Lịch sử chạy kiểm tra chất lượng dữ liệu mở - bản ghi thực thi kiểm tra chất lượng trên tập dữ liệu</t>
  </si>
  <si>
    <t>TVRP_OD_QUALITY_VIOLATION</t>
  </si>
  <si>
    <t>Vi phạm chất lượng dữ liệu mở - vi phạm chất lượng từng trường được phát hiện</t>
  </si>
  <si>
    <t>TVRP_OD_SCHEMA_PROFILE</t>
  </si>
  <si>
    <t>Hồ sơ lược đồ dữ liệu mở - định nghĩa lược đồ có thể tái sử dụng cho tập dữ liệu</t>
  </si>
  <si>
    <t>TVRP_OD_SCHEMA_PROFILE_FIELD</t>
  </si>
  <si>
    <t>Trường hồ sơ lược đồ - định nghĩa từng trường trong hồ sơ lược đồ</t>
  </si>
  <si>
    <t>TVRP_OD_SCHEMA_PROFILE_VERSION</t>
  </si>
  <si>
    <t>Phiên bản hồ sơ lược đồ - snapshot bất biến có versioning của hồ sơ lược đồ</t>
  </si>
  <si>
    <t>TVRP_OD_SPATIAL_VN</t>
  </si>
  <si>
    <t>Dữ liệu không gian Việt Nam - dữ liệu ranh giới hành chính và tham chiếu không gian Việt Nam</t>
  </si>
  <si>
    <t>TVRP_OD_SUBSCRIPTION</t>
  </si>
  <si>
    <t>Đăng ký dữ liệu mở - đăng ký của người dùng/ứng dụng nhận thông báo khi tập dữ liệu thay đổi</t>
  </si>
  <si>
    <t>TVRP_OD_TAXONOMY_MERGE_LOG</t>
  </si>
  <si>
    <t>Nhật ký gộp phân loại - theo dõi các thao tác gộp nhãn phân loại</t>
  </si>
  <si>
    <t>TVRP_OD_TAXONOMY_TERM</t>
  </si>
  <si>
    <t>Nhãn phân loại dữ liệu mở - thuật ngữ trong từ điển kiểm soát để phân loại tập dữ liệu</t>
  </si>
  <si>
    <t>TVRP_OD_THEME</t>
  </si>
  <si>
    <t>Chủ đề dữ liệu mở - danh mục chủ đề để tổ chức tập dữ liệu (tương thích DCAT-AP)</t>
  </si>
  <si>
    <t>TVRP_OD_USAGE_DAILY</t>
  </si>
  <si>
    <t>Thống kê sử dụng dữ liệu mở theo ngày - số liệu sử dụng API tổng hợp theo tập dữ liệu mỗi ngày</t>
  </si>
  <si>
    <t>TVRP_OD_USAGE_LOG</t>
  </si>
  <si>
    <t>Nhật ký sử dụng dữ liệu mở - nhật ký truy cập từng yêu cầu cho API dữ liệu mở</t>
  </si>
  <si>
    <t>TVRP_OD_VALIDATION_RULE</t>
  </si>
  <si>
    <t>Quy tắc kiểm tra hợp lệ trường dữ liệu mở - ràng buộc kiểm tra từng trường trong lược đồ</t>
  </si>
  <si>
    <t>TVRP_OD_VERSION</t>
  </si>
  <si>
    <t>Phiên bản tập dữ liệu mở - snapshot phiên bản ngữ nghĩa của tập dữ liệu kèm snapshot JSON đầy đủ</t>
  </si>
  <si>
    <t>TVRP_OD_WORKFLOW_EVENT</t>
  </si>
  <si>
    <t>Sự kiện quy trình dữ liệu mở - ghi nhận chuyển đổi trạng thái trong quy trình xem xét/xuất bản tập dữ liệu</t>
  </si>
  <si>
    <t>TVRP_CS_CATALOG_PRODUCT</t>
  </si>
  <si>
    <t>Danh mục dịch vụ - mục catalog sản phẩm/dịch vụ đã công bố (API product)</t>
  </si>
  <si>
    <t>TVRP - Content Services</t>
  </si>
  <si>
    <t>TVRP_CS_CATALOG_PRODUCT_OP</t>
  </si>
  <si>
    <t>Danh mục dịch vụ - ánh xạ các phiên bản thao tác với mục catalog sản phẩm</t>
  </si>
  <si>
    <t>TVRP_CS_FEDERATION</t>
  </si>
  <si>
    <t>Liên kết danh mục dịch vụ - tập dữ liệu ảo tổng hợp dữ liệu từ nhiều nguồn</t>
  </si>
  <si>
    <t>TVRP_CS_FEDERATION_MOUNT</t>
  </si>
  <si>
    <t>Điểm gắn kết liên kết - ràng buộc nguồn dữ liệu trong một liên kết</t>
  </si>
  <si>
    <t>TVRP_CS_HARVEST</t>
  </si>
  <si>
    <t>Thu thập dữ liệu - định nghĩa công việc ETL để nạp dữ liệu từ nguồn</t>
  </si>
  <si>
    <t>TVRP_CS_HARVEST_CHECKPOINT</t>
  </si>
  <si>
    <t>Điểm kiểm tra thu thập - watermark cho phép tiếp tục thu thập gia tăng</t>
  </si>
  <si>
    <t>TVRP_CS_HARVEST_RUN</t>
  </si>
  <si>
    <t>Lịch sử chạy thu thập - bản ghi thực thi của một lần chạy công việc thu thập</t>
  </si>
  <si>
    <t>TVRP_CS_JOB</t>
  </si>
  <si>
    <t>Công việc định kỳ danh mục dịch vụ - định nghĩa công việc nền theo cron hoặc kích hoạt</t>
  </si>
  <si>
    <t>TVRP_CS_JOB_EXECUTION</t>
  </si>
  <si>
    <t>Lịch sử thực thi công việc - kết quả của một lần chạy công việc</t>
  </si>
  <si>
    <t>TVRP_CS_LINEAGE_EDGE</t>
  </si>
  <si>
    <t>Cạnh trong đồ thị nguồn gốc dữ liệu - quan hệ có hướng giữa các nút nguồn gốc</t>
  </si>
  <si>
    <t>TVRP_CS_LINEAGE_NODE</t>
  </si>
  <si>
    <t>Nút trong đồ thị nguồn gốc dữ liệu - tập dữ liệu, thao tác hoặc biến đổi trong đồ thị</t>
  </si>
  <si>
    <t>TVRP_CS_MOCK_FIXTURE</t>
  </si>
  <si>
    <t>Fixture mock - phản hồi cố định để kiểm thử thao tác mà không cần gọi upstream thật</t>
  </si>
  <si>
    <t>TVRP_CS_OPERATION</t>
  </si>
  <si>
    <t>Thao tác danh mục dịch vụ - thao tác API có versioning (endpoint) trên một nguồn dữ liệu</t>
  </si>
  <si>
    <t>TVRP_CS_OP_PIPELINE</t>
  </si>
  <si>
    <t>Pipeline thao tác - đường ống biến đổi áp dụng cho kết quả đầu ra của thao tác</t>
  </si>
  <si>
    <t>TVRP_CS_OP_POLICY</t>
  </si>
  <si>
    <t>Chính sách thao tác - quy tắc xác thực, giới hạn tốc độ, che giấu PII, bộ nhớ đệm theo phạm vi</t>
  </si>
  <si>
    <t>TVRP_CS_OP_USAGE_DAILY</t>
  </si>
  <si>
    <t>Thống kê sử dụng thao tác theo ngày - số liệu tổng hợp theo thao tác và người tiêu dùng</t>
  </si>
  <si>
    <t>TVRP_CS_OP_USAGE_LOG</t>
  </si>
  <si>
    <t>Nhật ký sử dụng thao tác - nhật ký truy cập từng yêu cầu phục vụ thanh toán và phân tích</t>
  </si>
  <si>
    <t>TVRP_CS_OP_VERSION</t>
  </si>
  <si>
    <t>Phiên bản thao tác - snapshot bất biến của thao tác tại một phiên bản semantic</t>
  </si>
  <si>
    <t>TVRP_CS_PROXY_CONTENT_TYPE</t>
  </si>
  <si>
    <t>Loại nội dung proxy - ánh xạ thao tác sang loại nội dung Orchard để hiển thị trên CMS</t>
  </si>
  <si>
    <t>TVRP_CS_QUALITY_RULE</t>
  </si>
  <si>
    <t>Quy tắc chất lượng dữ liệu - định nghĩa quy tắc kiểm tra chất lượng cho nguồn dữ liệu hoặc thao tác</t>
  </si>
  <si>
    <t>TVRP_CS_QUALITY_RULE_RUN</t>
  </si>
  <si>
    <t>Lịch sử chạy kiểm tra chất lượng - bản ghi thực thi một lần kiểm tra chất lượng</t>
  </si>
  <si>
    <t>TVRP_CS_QUALITY_VIOLATION</t>
  </si>
  <si>
    <t>Vi phạm chất lượng dữ liệu - vi phạm chất lượng từng trường được phát hiện trong lần chạy</t>
  </si>
  <si>
    <t>TVRP_CS_SCHEMA</t>
  </si>
  <si>
    <t>Lược đồ dữ liệu danh mục dịch vụ - lược đồ được nội quan hoặc khai báo cho nguồn dữ liệu</t>
  </si>
  <si>
    <t>TVRP_CS_SOURCE</t>
  </si>
  <si>
    <t>Nguồn dữ liệu danh mục dịch vụ - đăng ký nguồn dữ liệu bên ngoài hoặc nội bộ</t>
  </si>
  <si>
    <t>TVRP_CS_STREAM</t>
  </si>
  <si>
    <t>Luồng dữ liệu thời gian thực - định nghĩa luồng sự kiện Kafka hoặc webhook</t>
  </si>
  <si>
    <t>TVRP_CS_STREAM_DLQ</t>
  </si>
  <si>
    <t>Hàng đợi thư chết của luồng - các tin nhắn thất bại để thử lại hoặc kiểm tra</t>
  </si>
  <si>
    <t>TVRP_CS_STREAM_SUBSCRIPTION</t>
  </si>
  <si>
    <t>Đăng ký luồng dữ liệu - đăng ký của người tiêu dùng đối với một luồng</t>
  </si>
  <si>
    <t>TVRP_CS_WEBHOOK</t>
  </si>
  <si>
    <t>Webhook gửi đi - định nghĩa gửi sự kiện tới URL bên ngoài</t>
  </si>
  <si>
    <t>TVRP_CS_WEBHOOK_DELIVERY</t>
  </si>
  <si>
    <t>Nhật ký gửi webhook - bản ghi từng lần thử gửi webhook và phản hồi nhận được</t>
  </si>
  <si>
    <t>TVRP_CS_WEBHOOK_NONCE</t>
  </si>
  <si>
    <t>Nonce webhook - khóa idempotency để loại trùng lặp webhook</t>
  </si>
  <si>
    <t>TVRP_CONTENT_EXTENSION</t>
  </si>
  <si>
    <t>Mở rộng nội dung - bổ sung metadata và trạng thái đồng bộ cho content item Orchard</t>
  </si>
  <si>
    <t>TVRP - Noi dung va Phien ban</t>
  </si>
  <si>
    <t>TVRP_CONTENT_INDEX_DEFINITION</t>
  </si>
  <si>
    <t>Định nghĩa chỉ mục nội dung - cấu hình đánh chỉ mục trường tùy chỉnh cho loại nội dung</t>
  </si>
  <si>
    <t>TVRP_CONTENT_INDEX_VALUE</t>
  </si>
  <si>
    <t>Giá trị chỉ mục nội dung - lưu trữ giá trị trường đã được đánh chỉ mục để truy vấn nhanh</t>
  </si>
  <si>
    <t>TVRP_CONTENT_ITEM_SCOPE</t>
  </si>
  <si>
    <t>Phạm vi content item - liên kết content item với các chiều phạm vi dữ liệu</t>
  </si>
  <si>
    <t>TVRP_CONTENT_STATE_SNAPSHOT</t>
  </si>
  <si>
    <t>Snapshot trạng thái quy trình - trạng thái luồng xử lý mới nhất của từng content item</t>
  </si>
  <si>
    <t>TVRP_CONTENT_TRANSLATION_INDEX</t>
  </si>
  <si>
    <t>Chỉ mục bản dịch nội dung - liên kết phiên bản gốc và phiên bản đã dịch của content item</t>
  </si>
  <si>
    <t>TVRP_CONTENT_TYPE_TRIGGERS</t>
  </si>
  <si>
    <t>Trigger loại nội dung - định nghĩa quy tắc tự động hóa theo sự kiện cho một loại nội dung</t>
  </si>
  <si>
    <t>TVRP_CONTENT_TYPE_TRIGGER_ACTIONS</t>
  </si>
  <si>
    <t>Hành động trong trigger loại nội dung - các bước hành động bên trong một trigger</t>
  </si>
  <si>
    <t>TVRP_CONTENT_VERSION</t>
  </si>
  <si>
    <t>Lịch sử phiên bản nội dung - lưu snapshot JSON của content item tại mỗi lần lưu</t>
  </si>
  <si>
    <t>TVRP_CONTENT_WORKFLOW_STATE_INDEX</t>
  </si>
  <si>
    <t>Chỉ mục trạng thái quy trình nội dung - theo dõi trạng thái thực thi luồng xử lý cho từng content item</t>
  </si>
  <si>
    <t>TVRP_AUDIT_LOG</t>
  </si>
  <si>
    <t>Nhật ký kiểm toán - ghi lại các thao tác tạo/sửa/xóa quan trọng kèm trạng thái trước và sau</t>
  </si>
  <si>
    <t>TVRP - Nhat ky va Kiem toan</t>
  </si>
  <si>
    <t>TVRP_RECORD_AUDIT_LOG</t>
  </si>
  <si>
    <t>Nhật ký kiểm toán cấp bản ghi - theo dõi các hành động cấp/thu hồi quyền trên tài nguyên cụ thể</t>
  </si>
  <si>
    <t>TVRP_TRIGGER_AUDIT_LOG</t>
  </si>
  <si>
    <t>Nhật ký kiểm toán trigger - ghi lại các thay đổi cấu hình trigger</t>
  </si>
  <si>
    <t>TVRP_SITE_THEME_AUDIT</t>
  </si>
  <si>
    <t>Kiểm toán giao diện site - nhật ký kiểm toán chuỗi hash cho các thao tác thay đổi giao diện</t>
  </si>
  <si>
    <t>TVRP_DASHBOARD_LAYOUT</t>
  </si>
  <si>
    <t>Bố cục bảng điều khiển - cấu hình lưới cho dashboard theo phạm vi HỆ THỐNG/VAI TRÒ/NGƯỜI DÙNG</t>
  </si>
  <si>
    <t>TVRP - Dashboard va Giao dien</t>
  </si>
  <si>
    <t>TVRP_DASHBOARD_LAYOUT_HISTORY</t>
  </si>
  <si>
    <t>Lịch sử bố cục bảng điều khiển - snapshot bố cục trước mỗi lần thay đổi</t>
  </si>
  <si>
    <t>TVRP_DASHBOARD_WIDGET_PREF</t>
  </si>
  <si>
    <t>Tùy chỉnh widget dashboard - cài đặt widget riêng theo từng người dùng</t>
  </si>
  <si>
    <t>TVRP_SITE_DOMAIN_INDEX</t>
  </si>
  <si>
    <t>Chỉ mục tên miền site - ánh xạ tên miền tùy chỉnh với ID content item của site</t>
  </si>
  <si>
    <t>TVRP_SITE_THEME_VARIANT</t>
  </si>
  <si>
    <t>Biến thể giao diện site - biến thể A/B testing của giao diện site với tỷ lệ phân chia lưu lượng</t>
  </si>
  <si>
    <t>TVRP_FRAGMENT_ASSETS</t>
  </si>
  <si>
    <t>Tài nguyên fragment - tài nguyên JS/CSS đã biên dịch cho các micro-frontend Angular/React</t>
  </si>
  <si>
    <t>TVRP_MASTER_PAGE_ASSETS</t>
  </si>
  <si>
    <t>Tài nguyên đã biên dịch của master page</t>
  </si>
  <si>
    <t>TVRP_MEDIA_FILE</t>
  </si>
  <si>
    <t>Tệp đa phương tiện - metadata tệp tải lên (nhị phân lưu trên hệ thống tệp tại MEDIA_STORAGE_PATH)</t>
  </si>
  <si>
    <t>TVRP_SEARCH_DOCUMENT</t>
  </si>
  <si>
    <t>Tài liệu tìm kiếm - chỉ mục tìm kiếm toàn văn bản dựa trên SQL cho content item</t>
  </si>
  <si>
    <t>TVRP_CALENDAR</t>
  </si>
  <si>
    <t>Lịch làm việc - định nghĩa giờ làm việc, ngày nghỉ và múi giờ phục vụ tính toán SLA</t>
  </si>
  <si>
    <t>TVRP - Lich va Su kien</t>
  </si>
  <si>
    <t>TVRP_CALENDAR_BUSINESS_HOURS</t>
  </si>
  <si>
    <t>Giờ làm việc theo từng ngày trong tuần của một lịch</t>
  </si>
  <si>
    <t>TVRP_CALENDAR_EVENT</t>
  </si>
  <si>
    <t>Sự kiện lịch - ngày nghỉ lễ, ngày đặc biệt hoặc sự kiện định kỳ trên lịch làm việc</t>
  </si>
  <si>
    <t>TVRP_TRIGGER_ACTION</t>
  </si>
  <si>
    <t>Hành động trigger - bước hành động riêng lẻ trong định nghĩa trigger nội dung</t>
  </si>
  <si>
    <t>TVRP - Dinh nghia Trigger</t>
  </si>
  <si>
    <t>TVRP_TRIGGER_ACTION_TEMPLATE</t>
  </si>
  <si>
    <t>Mẫu hành động trigger - mẫu hành động được dựng sẵn để tái sử dụng khi cấu hình trigger</t>
  </si>
  <si>
    <t>TVRP_TRIGGER_DEFINITION</t>
  </si>
  <si>
    <t>Định nghĩa trigger - quy tắc tự động hóa theo sự kiện (HTTP, cron, sự kiện nội dung, hoạt động quy trình)</t>
  </si>
  <si>
    <t>TVRP_TRIGGER_EXECUTION_STEP</t>
  </si>
  <si>
    <t>Bước thực thi trigger - bản ghi thực thi từng hành động trong một lần chạy trigger</t>
  </si>
  <si>
    <t>TVRP_TRIGGER_REVISION</t>
  </si>
  <si>
    <t>Phiên bản trigger - snapshot bất biến của định nghĩa trigger tại thời điểm xuất bản</t>
  </si>
  <si>
    <t>TVRP_TRIGGER_SETTING</t>
  </si>
  <si>
    <t>Cài đặt engine trigger - cài đặt key-value toàn cục cho engine thực thi trigger</t>
  </si>
  <si>
    <t>TVRP_TRIGGER_SLA_BREACH</t>
  </si>
  <si>
    <t>Vi phạm SLA trigger - ghi nhận vi phạm SLA của một lần thực thi trigger</t>
  </si>
  <si>
    <t>TVRP_JOB_ACTION</t>
  </si>
  <si>
    <t>Hành động công việc động - bước hành động riêng lẻ trong định nghĩa công việc định kỳ</t>
  </si>
  <si>
    <t>TVRP - Jobs va Tac vu nen</t>
  </si>
  <si>
    <t>TVRP_JOB_DEFINITION</t>
  </si>
  <si>
    <t>Định nghĩa công việc động - công việc định kỳ dựa trên Groovy với biểu thức cron</t>
  </si>
  <si>
    <t>TVRP_DATA_POLICIES</t>
  </si>
  <si>
    <t>Chính sách dữ liệu ABAC - chính sách kiểm soát truy cập dựa trên thuộc tính với biểu thức điều kiện</t>
  </si>
  <si>
    <t>TVRP - Chinh sach du lieu</t>
  </si>
  <si>
    <t>TVRP_DATA_POLICIES_HISTORY</t>
  </si>
  <si>
    <t>Lịch sử phiên bản chính sách ABAC - snapshot bất biến của chính sách tại mỗi phiên bản</t>
  </si>
  <si>
    <t>TVRP_OBS_PROBLEM</t>
  </si>
  <si>
    <t>Sự cố quan sát - sự cố hệ thống/dịch vụ bị phát hiện hoặc suy giảm hiệu suất</t>
  </si>
  <si>
    <t>TVRP - Observability va Giam sat</t>
  </si>
  <si>
    <t>TVRP_OBS_PROBLEM_EVENT</t>
  </si>
  <si>
    <t>Sự kiện sự cố - chuyển đổi trạng thái và cập nhật cho một sự cố</t>
  </si>
  <si>
    <t>TVRP_OBS_SLO</t>
  </si>
  <si>
    <t>Mục tiêu mức dịch vụ (SLO) - định nghĩa SLO và trạng thái tuân thủ hiện tại</t>
  </si>
  <si>
    <t>TVRP_DRAFT</t>
  </si>
  <si>
    <t>Bản nháp nội dung - bản nháp tự lưu của trang, fragment hoặc master page trước khi xuất bản</t>
  </si>
  <si>
    <t>TVRP - Khac</t>
  </si>
  <si>
    <t>TVRP_GA4_CONFIGS</t>
  </si>
  <si>
    <t>Cấu hình Google Analytics 4 - thông tin đăng nhập GA4 được mã hóa theo từng site</t>
  </si>
  <si>
    <t>PIVOT: LOẠI BẢNG × PHÂN HỆ</t>
  </si>
  <si>
    <t>TỔNG</t>
  </si>
  <si>
    <t>Ngân hàng thanh toán, lưu ký</t>
  </si>
  <si>
    <t>Hệ thống</t>
  </si>
  <si>
    <t>Báo cáo động</t>
  </si>
  <si>
    <t>IDS</t>
  </si>
  <si>
    <t>Xong thiết kế mức bảng</t>
  </si>
  <si>
    <t>Dữ liệu chỉ tiêu, không thiết kế</t>
  </si>
  <si>
    <t>Thiết kế bảng</t>
  </si>
  <si>
    <t>Thiết kế trường + mapping</t>
  </si>
  <si>
    <t>Tổng bảng chứa DL nghiệp vụ</t>
  </si>
  <si>
    <t>Done</t>
  </si>
  <si>
    <t>Sổ lệnh, DL Thị trường, VSDC</t>
  </si>
  <si>
    <t>Chỉ thiết kế ATM, Không lên DTM</t>
  </si>
  <si>
    <t>Phân loại</t>
  </si>
  <si>
    <t xml:space="preserve">        </t>
  </si>
  <si>
    <t>nfnnfsdnnfnewjnf</t>
  </si>
  <si>
    <t>Không thiết kế, đẩy 1:1 hoặc chỉ tiêu động</t>
  </si>
  <si>
    <t>x</t>
  </si>
  <si>
    <t>Quản lý chào bán</t>
  </si>
  <si>
    <t>Quản lý công ty đại chúng</t>
  </si>
  <si>
    <t>Văn phòng - Tổng hợp</t>
  </si>
  <si>
    <t>Start</t>
  </si>
  <si>
    <t>End</t>
  </si>
  <si>
    <t>Thiết kế  Datamart</t>
  </si>
  <si>
    <t>Thiết kế Atomic</t>
  </si>
  <si>
    <t>Lập trình Atomic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</si>
</sst>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9"/>
      <name val="Calibri"/>
    </font>
    <font>
      <b/>
      <sz val="13"/>
      <color rgb="FFFFFFFF"/>
      <name val="Calibri"/>
    </font>
    <font>
      <sz val="9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sz val="9"/>
      <name val="Calibri"/>
      <family val="2"/>
    </font>
    <font>
      <b/>
      <sz val="11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D5D8DC"/>
      </patternFill>
    </fill>
    <fill>
      <patternFill patternType="solid">
        <fgColor rgb="FFEBF5FB"/>
      </patternFill>
    </fill>
    <fill>
      <patternFill patternType="solid">
        <fgColor rgb="FFEAF9EA"/>
      </patternFill>
    </fill>
    <fill>
      <patternFill patternType="solid">
        <fgColor rgb="FFFEF9E7"/>
      </patternFill>
    </fill>
    <fill>
      <patternFill patternType="solid">
        <fgColor rgb="FF2980B9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F9E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center" vertical="center" indent="1"/>
    </xf>
    <xf numFmtId="0" fontId="5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center" vertical="center" indent="1"/>
    </xf>
    <xf numFmtId="0" fontId="5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center" vertical="center" indent="1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3" xfId="0" applyFill="1" applyBorder="1" applyAlignment="1">
      <alignment vertical="center"/>
    </xf>
    <xf numFmtId="0" fontId="0" fillId="12" borderId="3" xfId="0" applyFill="1" applyBorder="1" applyAlignment="1">
      <alignment vertical="center" wrapText="1"/>
    </xf>
    <xf numFmtId="0" fontId="0" fillId="13" borderId="3" xfId="0" applyFill="1" applyBorder="1" applyAlignment="1">
      <alignment horizontal="center" vertical="center"/>
    </xf>
    <xf numFmtId="0" fontId="0" fillId="13" borderId="3" xfId="0" applyFill="1" applyBorder="1" applyAlignment="1">
      <alignment vertical="center"/>
    </xf>
    <xf numFmtId="0" fontId="0" fillId="13" borderId="3" xfId="0" applyFill="1" applyBorder="1" applyAlignment="1">
      <alignment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0" fillId="15" borderId="4" xfId="0" applyFill="1" applyBorder="1" applyAlignment="1">
      <alignment vertical="center" wrapText="1"/>
    </xf>
    <xf numFmtId="0" fontId="0" fillId="16" borderId="4" xfId="0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1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left" vertical="center" indent="1"/>
    </xf>
    <xf numFmtId="0" fontId="5" fillId="18" borderId="2" xfId="0" applyFont="1" applyFill="1" applyBorder="1" applyAlignment="1">
      <alignment horizontal="left" vertical="center" wrapText="1" indent="1"/>
    </xf>
    <xf numFmtId="0" fontId="5" fillId="18" borderId="2" xfId="0" applyFont="1" applyFill="1" applyBorder="1" applyAlignment="1">
      <alignment horizontal="left" vertical="center" indent="1"/>
    </xf>
    <xf numFmtId="0" fontId="3" fillId="18" borderId="2" xfId="0" applyFont="1" applyFill="1" applyBorder="1" applyAlignment="1">
      <alignment horizontal="center" vertical="center" indent="1"/>
    </xf>
    <xf numFmtId="0" fontId="5" fillId="1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left" vertical="center" indent="1"/>
    </xf>
    <xf numFmtId="0" fontId="5" fillId="19" borderId="2" xfId="0" applyFont="1" applyFill="1" applyBorder="1" applyAlignment="1">
      <alignment horizontal="left" vertical="center" wrapText="1" indent="1"/>
    </xf>
    <xf numFmtId="0" fontId="5" fillId="19" borderId="2" xfId="0" applyFont="1" applyFill="1" applyBorder="1" applyAlignment="1">
      <alignment horizontal="left" vertical="center" indent="1"/>
    </xf>
    <xf numFmtId="0" fontId="3" fillId="19" borderId="2" xfId="0" applyFont="1" applyFill="1" applyBorder="1" applyAlignment="1">
      <alignment horizontal="center" vertical="center" indent="1"/>
    </xf>
    <xf numFmtId="0" fontId="1" fillId="20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inden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indent="1"/>
    </xf>
    <xf numFmtId="16" fontId="0" fillId="0" borderId="0" xfId="0" applyNumberFormat="1"/>
    <xf numFmtId="0" fontId="0" fillId="0" borderId="0" xfId="0" applyAlignment="1">
      <alignment horizontal="left" vertical="center" inden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21" borderId="6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indent="1"/>
    </xf>
    <xf numFmtId="16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9" fillId="17" borderId="8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F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9"/>
  <sheetViews>
    <sheetView zoomScale="115" zoomScaleNormal="115" workbookViewId="0">
      <pane ySplit="2" topLeftCell="A592" activePane="bottomLeft" state="frozen"/>
      <selection pane="bottomLeft" activeCell="A2" sqref="A2:XFD2"/>
    </sheetView>
  </sheetViews>
  <sheetFormatPr defaultRowHeight="14.25" x14ac:dyDescent="0.45"/>
  <cols>
    <col min="1" max="1" width="6" customWidth="1"/>
    <col min="2" max="2" width="28" customWidth="1"/>
    <col min="3" max="3" width="45" customWidth="1"/>
    <col min="4" max="4" width="28.06640625" customWidth="1"/>
    <col min="5" max="5" width="18" customWidth="1"/>
  </cols>
  <sheetData>
    <row r="1" spans="1:6" ht="16.899999999999999" customHeight="1" x14ac:dyDescent="0.45">
      <c r="A1" s="67" t="s">
        <v>0</v>
      </c>
      <c r="B1" s="68"/>
      <c r="C1" s="68"/>
      <c r="D1" s="68"/>
      <c r="E1" s="68"/>
    </row>
    <row r="2" spans="1:6" x14ac:dyDescent="0.4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t="s">
        <v>6</v>
      </c>
    </row>
    <row r="3" spans="1:6" x14ac:dyDescent="0.45">
      <c r="A3" s="6">
        <v>1</v>
      </c>
      <c r="B3" s="7" t="s">
        <v>7</v>
      </c>
      <c r="C3" s="36" t="s">
        <v>8</v>
      </c>
      <c r="D3" s="9" t="s">
        <v>9</v>
      </c>
      <c r="E3" s="10" t="s">
        <v>10</v>
      </c>
      <c r="F3" t="s">
        <v>11</v>
      </c>
    </row>
    <row r="4" spans="1:6" ht="23.25" customHeight="1" x14ac:dyDescent="0.45">
      <c r="A4" s="6">
        <v>2</v>
      </c>
      <c r="B4" s="7" t="s">
        <v>12</v>
      </c>
      <c r="C4" s="36" t="s">
        <v>13</v>
      </c>
      <c r="D4" s="9" t="s">
        <v>9</v>
      </c>
      <c r="E4" s="10" t="s">
        <v>10</v>
      </c>
      <c r="F4" t="s">
        <v>11</v>
      </c>
    </row>
    <row r="5" spans="1:6" x14ac:dyDescent="0.45">
      <c r="A5" s="6">
        <v>3</v>
      </c>
      <c r="B5" s="7" t="s">
        <v>14</v>
      </c>
      <c r="C5" s="36" t="s">
        <v>15</v>
      </c>
      <c r="D5" s="9" t="s">
        <v>9</v>
      </c>
      <c r="E5" s="10" t="s">
        <v>10</v>
      </c>
      <c r="F5" t="s">
        <v>11</v>
      </c>
    </row>
    <row r="6" spans="1:6" x14ac:dyDescent="0.45">
      <c r="A6" s="6">
        <v>4</v>
      </c>
      <c r="B6" s="7" t="s">
        <v>16</v>
      </c>
      <c r="C6" s="36" t="s">
        <v>15</v>
      </c>
      <c r="D6" s="9" t="s">
        <v>9</v>
      </c>
      <c r="E6" s="10" t="s">
        <v>10</v>
      </c>
      <c r="F6" t="s">
        <v>11</v>
      </c>
    </row>
    <row r="7" spans="1:6" ht="23.25" customHeight="1" x14ac:dyDescent="0.45">
      <c r="A7" s="6">
        <v>5</v>
      </c>
      <c r="B7" s="7" t="s">
        <v>17</v>
      </c>
      <c r="C7" s="36" t="s">
        <v>18</v>
      </c>
      <c r="D7" s="9" t="s">
        <v>9</v>
      </c>
      <c r="E7" s="10" t="s">
        <v>10</v>
      </c>
      <c r="F7" t="s">
        <v>11</v>
      </c>
    </row>
    <row r="8" spans="1:6" x14ac:dyDescent="0.45">
      <c r="A8" s="6">
        <v>6</v>
      </c>
      <c r="B8" s="7" t="s">
        <v>19</v>
      </c>
      <c r="C8" s="36" t="s">
        <v>20</v>
      </c>
      <c r="D8" s="9" t="s">
        <v>9</v>
      </c>
      <c r="E8" s="10" t="s">
        <v>10</v>
      </c>
      <c r="F8" t="s">
        <v>11</v>
      </c>
    </row>
    <row r="9" spans="1:6" x14ac:dyDescent="0.45">
      <c r="A9" s="6">
        <v>7</v>
      </c>
      <c r="B9" s="7" t="s">
        <v>21</v>
      </c>
      <c r="C9" s="36" t="s">
        <v>22</v>
      </c>
      <c r="D9" s="9" t="s">
        <v>9</v>
      </c>
      <c r="E9" s="10" t="s">
        <v>10</v>
      </c>
      <c r="F9" t="s">
        <v>11</v>
      </c>
    </row>
    <row r="10" spans="1:6" x14ac:dyDescent="0.45">
      <c r="A10" s="6">
        <v>8</v>
      </c>
      <c r="B10" s="7" t="s">
        <v>23</v>
      </c>
      <c r="C10" s="8" t="s">
        <v>24</v>
      </c>
      <c r="D10" s="9" t="s">
        <v>9</v>
      </c>
      <c r="E10" s="10" t="s">
        <v>10</v>
      </c>
      <c r="F10" t="s">
        <v>25</v>
      </c>
    </row>
    <row r="11" spans="1:6" x14ac:dyDescent="0.45">
      <c r="A11" s="6">
        <v>9</v>
      </c>
      <c r="B11" s="7" t="s">
        <v>26</v>
      </c>
      <c r="C11" s="8" t="s">
        <v>27</v>
      </c>
      <c r="D11" s="9" t="s">
        <v>9</v>
      </c>
      <c r="E11" s="10" t="s">
        <v>10</v>
      </c>
      <c r="F11" t="s">
        <v>25</v>
      </c>
    </row>
    <row r="12" spans="1:6" x14ac:dyDescent="0.45">
      <c r="A12" s="6">
        <v>10</v>
      </c>
      <c r="B12" s="7" t="s">
        <v>28</v>
      </c>
      <c r="C12" s="36" t="s">
        <v>29</v>
      </c>
      <c r="D12" s="9" t="s">
        <v>9</v>
      </c>
      <c r="E12" s="10" t="s">
        <v>10</v>
      </c>
      <c r="F12" t="s">
        <v>25</v>
      </c>
    </row>
    <row r="13" spans="1:6" ht="34.9" customHeight="1" x14ac:dyDescent="0.45">
      <c r="A13" s="6">
        <v>11</v>
      </c>
      <c r="B13" s="65" t="s">
        <v>30</v>
      </c>
      <c r="C13" s="36" t="s">
        <v>31</v>
      </c>
      <c r="D13" s="9" t="s">
        <v>9</v>
      </c>
      <c r="E13" s="10" t="s">
        <v>10</v>
      </c>
      <c r="F13" t="s">
        <v>25</v>
      </c>
    </row>
    <row r="14" spans="1:6" ht="23.25" customHeight="1" x14ac:dyDescent="0.45">
      <c r="A14" s="6">
        <v>12</v>
      </c>
      <c r="B14" s="7" t="s">
        <v>32</v>
      </c>
      <c r="C14" s="36" t="s">
        <v>33</v>
      </c>
      <c r="D14" s="9" t="s">
        <v>9</v>
      </c>
      <c r="E14" s="10" t="s">
        <v>10</v>
      </c>
      <c r="F14" t="s">
        <v>25</v>
      </c>
    </row>
    <row r="15" spans="1:6" x14ac:dyDescent="0.45">
      <c r="A15" s="6">
        <v>13</v>
      </c>
      <c r="B15" s="7" t="s">
        <v>34</v>
      </c>
      <c r="C15" s="36" t="s">
        <v>35</v>
      </c>
      <c r="D15" s="9" t="s">
        <v>9</v>
      </c>
      <c r="E15" s="10" t="s">
        <v>10</v>
      </c>
      <c r="F15" t="s">
        <v>25</v>
      </c>
    </row>
    <row r="16" spans="1:6" x14ac:dyDescent="0.45">
      <c r="A16" s="6">
        <v>14</v>
      </c>
      <c r="B16" s="7" t="s">
        <v>36</v>
      </c>
      <c r="C16" s="8" t="s">
        <v>37</v>
      </c>
      <c r="D16" s="9" t="s">
        <v>9</v>
      </c>
      <c r="E16" s="10" t="s">
        <v>10</v>
      </c>
      <c r="F16" t="s">
        <v>25</v>
      </c>
    </row>
    <row r="17" spans="1:6" ht="23.25" customHeight="1" x14ac:dyDescent="0.45">
      <c r="A17" s="6">
        <v>15</v>
      </c>
      <c r="B17" s="7" t="s">
        <v>38</v>
      </c>
      <c r="C17" s="36" t="s">
        <v>39</v>
      </c>
      <c r="D17" s="9" t="s">
        <v>9</v>
      </c>
      <c r="E17" s="10" t="s">
        <v>10</v>
      </c>
      <c r="F17" t="s">
        <v>25</v>
      </c>
    </row>
    <row r="18" spans="1:6" ht="23.25" customHeight="1" x14ac:dyDescent="0.45">
      <c r="A18" s="6">
        <v>16</v>
      </c>
      <c r="B18" s="7" t="s">
        <v>40</v>
      </c>
      <c r="C18" s="36" t="s">
        <v>41</v>
      </c>
      <c r="D18" s="9" t="s">
        <v>9</v>
      </c>
      <c r="E18" s="10" t="s">
        <v>10</v>
      </c>
      <c r="F18" t="s">
        <v>25</v>
      </c>
    </row>
    <row r="19" spans="1:6" ht="23.25" customHeight="1" x14ac:dyDescent="0.45">
      <c r="A19" s="6">
        <v>17</v>
      </c>
      <c r="B19" s="7" t="s">
        <v>42</v>
      </c>
      <c r="C19" s="36" t="s">
        <v>43</v>
      </c>
      <c r="D19" s="9" t="s">
        <v>9</v>
      </c>
      <c r="E19" s="10" t="s">
        <v>10</v>
      </c>
      <c r="F19" t="s">
        <v>25</v>
      </c>
    </row>
    <row r="20" spans="1:6" ht="23.25" customHeight="1" x14ac:dyDescent="0.45">
      <c r="A20" s="6">
        <v>18</v>
      </c>
      <c r="B20" s="7" t="s">
        <v>44</v>
      </c>
      <c r="C20" s="36" t="s">
        <v>45</v>
      </c>
      <c r="D20" s="9" t="s">
        <v>9</v>
      </c>
      <c r="E20" s="10" t="s">
        <v>10</v>
      </c>
      <c r="F20" t="s">
        <v>25</v>
      </c>
    </row>
    <row r="21" spans="1:6" x14ac:dyDescent="0.45">
      <c r="A21" s="6">
        <v>19</v>
      </c>
      <c r="B21" s="7" t="s">
        <v>46</v>
      </c>
      <c r="C21" s="8" t="s">
        <v>47</v>
      </c>
      <c r="D21" s="9" t="s">
        <v>9</v>
      </c>
      <c r="E21" s="10" t="s">
        <v>10</v>
      </c>
      <c r="F21" t="s">
        <v>25</v>
      </c>
    </row>
    <row r="22" spans="1:6" ht="23.25" customHeight="1" x14ac:dyDescent="0.45">
      <c r="A22" s="6">
        <v>20</v>
      </c>
      <c r="B22" s="7" t="s">
        <v>48</v>
      </c>
      <c r="C22" s="36" t="s">
        <v>49</v>
      </c>
      <c r="D22" s="9" t="s">
        <v>9</v>
      </c>
      <c r="E22" s="10" t="s">
        <v>10</v>
      </c>
      <c r="F22" t="s">
        <v>25</v>
      </c>
    </row>
    <row r="23" spans="1:6" ht="23.25" customHeight="1" x14ac:dyDescent="0.45">
      <c r="A23" s="6">
        <v>21</v>
      </c>
      <c r="B23" s="7" t="s">
        <v>50</v>
      </c>
      <c r="C23" s="36" t="s">
        <v>51</v>
      </c>
      <c r="D23" s="9" t="s">
        <v>9</v>
      </c>
      <c r="E23" s="10" t="s">
        <v>10</v>
      </c>
      <c r="F23" t="s">
        <v>25</v>
      </c>
    </row>
    <row r="24" spans="1:6" x14ac:dyDescent="0.45">
      <c r="A24" s="6">
        <v>22</v>
      </c>
      <c r="B24" s="7" t="s">
        <v>52</v>
      </c>
      <c r="C24" s="36" t="s">
        <v>53</v>
      </c>
      <c r="D24" s="9" t="s">
        <v>9</v>
      </c>
      <c r="E24" s="10" t="s">
        <v>10</v>
      </c>
      <c r="F24" t="s">
        <v>25</v>
      </c>
    </row>
    <row r="25" spans="1:6" ht="23.25" customHeight="1" x14ac:dyDescent="0.45">
      <c r="A25" s="6">
        <v>23</v>
      </c>
      <c r="B25" s="7" t="s">
        <v>54</v>
      </c>
      <c r="C25" s="36" t="s">
        <v>55</v>
      </c>
      <c r="D25" s="9" t="s">
        <v>9</v>
      </c>
      <c r="E25" s="10" t="s">
        <v>10</v>
      </c>
      <c r="F25" t="s">
        <v>25</v>
      </c>
    </row>
    <row r="26" spans="1:6" ht="23.25" customHeight="1" x14ac:dyDescent="0.45">
      <c r="A26" s="6">
        <v>24</v>
      </c>
      <c r="B26" s="7" t="s">
        <v>56</v>
      </c>
      <c r="C26" s="36" t="s">
        <v>57</v>
      </c>
      <c r="D26" s="9" t="s">
        <v>9</v>
      </c>
      <c r="E26" s="10" t="s">
        <v>10</v>
      </c>
      <c r="F26" t="s">
        <v>25</v>
      </c>
    </row>
    <row r="27" spans="1:6" x14ac:dyDescent="0.45">
      <c r="A27" s="6">
        <v>25</v>
      </c>
      <c r="B27" s="7" t="s">
        <v>58</v>
      </c>
      <c r="C27" s="36" t="s">
        <v>59</v>
      </c>
      <c r="D27" s="9" t="s">
        <v>9</v>
      </c>
      <c r="E27" s="10" t="s">
        <v>10</v>
      </c>
      <c r="F27" t="s">
        <v>25</v>
      </c>
    </row>
    <row r="28" spans="1:6" x14ac:dyDescent="0.45">
      <c r="A28" s="6">
        <v>26</v>
      </c>
      <c r="B28" s="7" t="s">
        <v>60</v>
      </c>
      <c r="C28" s="36" t="s">
        <v>61</v>
      </c>
      <c r="D28" s="9" t="s">
        <v>9</v>
      </c>
      <c r="E28" s="10" t="s">
        <v>10</v>
      </c>
      <c r="F28" t="s">
        <v>25</v>
      </c>
    </row>
    <row r="29" spans="1:6" ht="23.25" customHeight="1" x14ac:dyDescent="0.45">
      <c r="A29" s="6">
        <v>27</v>
      </c>
      <c r="B29" s="7" t="s">
        <v>62</v>
      </c>
      <c r="C29" s="36" t="s">
        <v>63</v>
      </c>
      <c r="D29" s="9" t="s">
        <v>9</v>
      </c>
      <c r="E29" s="10" t="s">
        <v>10</v>
      </c>
      <c r="F29" t="s">
        <v>25</v>
      </c>
    </row>
    <row r="30" spans="1:6" ht="23.25" customHeight="1" x14ac:dyDescent="0.45">
      <c r="A30" s="6">
        <v>28</v>
      </c>
      <c r="B30" s="7" t="s">
        <v>64</v>
      </c>
      <c r="C30" s="36" t="s">
        <v>65</v>
      </c>
      <c r="D30" s="9" t="s">
        <v>9</v>
      </c>
      <c r="E30" s="10" t="s">
        <v>10</v>
      </c>
      <c r="F30" t="s">
        <v>25</v>
      </c>
    </row>
    <row r="31" spans="1:6" x14ac:dyDescent="0.45">
      <c r="A31" s="6">
        <v>29</v>
      </c>
      <c r="B31" s="7" t="s">
        <v>66</v>
      </c>
      <c r="C31" s="36" t="s">
        <v>67</v>
      </c>
      <c r="D31" s="9" t="s">
        <v>9</v>
      </c>
      <c r="E31" s="10" t="s">
        <v>10</v>
      </c>
      <c r="F31" t="s">
        <v>25</v>
      </c>
    </row>
    <row r="32" spans="1:6" x14ac:dyDescent="0.45">
      <c r="A32" s="6">
        <v>30</v>
      </c>
      <c r="B32" s="7" t="s">
        <v>68</v>
      </c>
      <c r="C32" s="36" t="s">
        <v>69</v>
      </c>
      <c r="D32" s="9" t="s">
        <v>9</v>
      </c>
      <c r="E32" s="10" t="s">
        <v>10</v>
      </c>
      <c r="F32" t="s">
        <v>25</v>
      </c>
    </row>
    <row r="33" spans="1:6" ht="23.25" customHeight="1" x14ac:dyDescent="0.45">
      <c r="A33" s="6">
        <v>31</v>
      </c>
      <c r="B33" s="7" t="s">
        <v>70</v>
      </c>
      <c r="C33" s="36" t="s">
        <v>71</v>
      </c>
      <c r="D33" s="9" t="s">
        <v>9</v>
      </c>
      <c r="E33" s="10" t="s">
        <v>10</v>
      </c>
      <c r="F33" t="s">
        <v>25</v>
      </c>
    </row>
    <row r="34" spans="1:6" ht="23.25" customHeight="1" x14ac:dyDescent="0.45">
      <c r="A34" s="6">
        <v>32</v>
      </c>
      <c r="B34" s="7" t="s">
        <v>72</v>
      </c>
      <c r="C34" s="36" t="s">
        <v>73</v>
      </c>
      <c r="D34" s="9" t="s">
        <v>9</v>
      </c>
      <c r="E34" s="10" t="s">
        <v>10</v>
      </c>
      <c r="F34" t="s">
        <v>25</v>
      </c>
    </row>
    <row r="35" spans="1:6" ht="23.25" customHeight="1" x14ac:dyDescent="0.45">
      <c r="A35" s="6">
        <v>33</v>
      </c>
      <c r="B35" s="7" t="s">
        <v>74</v>
      </c>
      <c r="C35" s="36" t="s">
        <v>75</v>
      </c>
      <c r="D35" s="9" t="s">
        <v>9</v>
      </c>
      <c r="E35" s="10" t="s">
        <v>10</v>
      </c>
      <c r="F35" t="s">
        <v>25</v>
      </c>
    </row>
    <row r="36" spans="1:6" ht="34.9" customHeight="1" x14ac:dyDescent="0.45">
      <c r="A36" s="6">
        <v>34</v>
      </c>
      <c r="B36" s="7" t="s">
        <v>76</v>
      </c>
      <c r="C36" s="36" t="s">
        <v>77</v>
      </c>
      <c r="D36" s="9" t="s">
        <v>9</v>
      </c>
      <c r="E36" s="10" t="s">
        <v>10</v>
      </c>
      <c r="F36" t="s">
        <v>25</v>
      </c>
    </row>
    <row r="37" spans="1:6" ht="23.25" customHeight="1" x14ac:dyDescent="0.45">
      <c r="A37" s="6">
        <v>35</v>
      </c>
      <c r="B37" s="7" t="s">
        <v>78</v>
      </c>
      <c r="C37" s="36" t="s">
        <v>79</v>
      </c>
      <c r="D37" s="9" t="s">
        <v>9</v>
      </c>
      <c r="E37" s="10" t="s">
        <v>10</v>
      </c>
      <c r="F37" t="s">
        <v>25</v>
      </c>
    </row>
    <row r="38" spans="1:6" ht="23.25" customHeight="1" x14ac:dyDescent="0.45">
      <c r="A38" s="6">
        <v>36</v>
      </c>
      <c r="B38" s="7" t="s">
        <v>80</v>
      </c>
      <c r="C38" s="36" t="s">
        <v>81</v>
      </c>
      <c r="D38" s="9" t="s">
        <v>9</v>
      </c>
      <c r="E38" s="10" t="s">
        <v>10</v>
      </c>
      <c r="F38" t="s">
        <v>25</v>
      </c>
    </row>
    <row r="39" spans="1:6" ht="23.25" customHeight="1" x14ac:dyDescent="0.45">
      <c r="A39" s="6">
        <v>37</v>
      </c>
      <c r="B39" s="7" t="s">
        <v>82</v>
      </c>
      <c r="C39" s="36" t="s">
        <v>83</v>
      </c>
      <c r="D39" s="9" t="s">
        <v>9</v>
      </c>
      <c r="E39" s="10" t="s">
        <v>10</v>
      </c>
      <c r="F39" t="s">
        <v>25</v>
      </c>
    </row>
    <row r="40" spans="1:6" ht="34.9" customHeight="1" x14ac:dyDescent="0.45">
      <c r="A40" s="6">
        <v>38</v>
      </c>
      <c r="B40" s="7" t="s">
        <v>84</v>
      </c>
      <c r="C40" s="36" t="s">
        <v>85</v>
      </c>
      <c r="D40" s="9" t="s">
        <v>9</v>
      </c>
      <c r="E40" s="10" t="s">
        <v>10</v>
      </c>
      <c r="F40" t="s">
        <v>25</v>
      </c>
    </row>
    <row r="41" spans="1:6" x14ac:dyDescent="0.45">
      <c r="A41" s="6">
        <v>39</v>
      </c>
      <c r="B41" s="7" t="s">
        <v>86</v>
      </c>
      <c r="C41" s="36" t="s">
        <v>87</v>
      </c>
      <c r="D41" s="9" t="s">
        <v>9</v>
      </c>
      <c r="E41" s="10" t="s">
        <v>10</v>
      </c>
      <c r="F41" t="s">
        <v>25</v>
      </c>
    </row>
    <row r="42" spans="1:6" x14ac:dyDescent="0.45">
      <c r="A42" s="6">
        <v>40</v>
      </c>
      <c r="B42" s="7" t="s">
        <v>88</v>
      </c>
      <c r="C42" s="36" t="s">
        <v>89</v>
      </c>
      <c r="D42" s="9" t="s">
        <v>9</v>
      </c>
      <c r="E42" s="10" t="s">
        <v>10</v>
      </c>
      <c r="F42" t="s">
        <v>25</v>
      </c>
    </row>
    <row r="43" spans="1:6" ht="34.9" customHeight="1" x14ac:dyDescent="0.45">
      <c r="A43" s="6">
        <v>41</v>
      </c>
      <c r="B43" s="7" t="s">
        <v>90</v>
      </c>
      <c r="C43" s="36" t="s">
        <v>91</v>
      </c>
      <c r="D43" s="9" t="s">
        <v>9</v>
      </c>
      <c r="E43" s="10" t="s">
        <v>10</v>
      </c>
      <c r="F43" t="s">
        <v>25</v>
      </c>
    </row>
    <row r="44" spans="1:6" ht="23.25" customHeight="1" x14ac:dyDescent="0.45">
      <c r="A44" s="6">
        <v>42</v>
      </c>
      <c r="B44" s="7" t="s">
        <v>92</v>
      </c>
      <c r="C44" s="36" t="s">
        <v>93</v>
      </c>
      <c r="D44" s="9" t="s">
        <v>9</v>
      </c>
      <c r="E44" s="10" t="s">
        <v>10</v>
      </c>
      <c r="F44" t="s">
        <v>94</v>
      </c>
    </row>
    <row r="45" spans="1:6" ht="23.25" customHeight="1" x14ac:dyDescent="0.45">
      <c r="A45" s="6">
        <v>43</v>
      </c>
      <c r="B45" s="7" t="s">
        <v>95</v>
      </c>
      <c r="C45" s="36" t="s">
        <v>96</v>
      </c>
      <c r="D45" s="9" t="s">
        <v>9</v>
      </c>
      <c r="E45" s="10" t="s">
        <v>10</v>
      </c>
      <c r="F45" t="s">
        <v>97</v>
      </c>
    </row>
    <row r="46" spans="1:6" ht="23.25" customHeight="1" x14ac:dyDescent="0.45">
      <c r="A46" s="6">
        <v>44</v>
      </c>
      <c r="B46" s="7" t="s">
        <v>98</v>
      </c>
      <c r="C46" s="36" t="s">
        <v>99</v>
      </c>
      <c r="D46" s="9" t="s">
        <v>9</v>
      </c>
      <c r="E46" s="10" t="s">
        <v>10</v>
      </c>
      <c r="F46" t="s">
        <v>25</v>
      </c>
    </row>
    <row r="47" spans="1:6" ht="23.25" customHeight="1" x14ac:dyDescent="0.45">
      <c r="A47" s="6">
        <v>45</v>
      </c>
      <c r="B47" s="7" t="s">
        <v>100</v>
      </c>
      <c r="C47" s="36" t="s">
        <v>101</v>
      </c>
      <c r="D47" s="9" t="s">
        <v>9</v>
      </c>
      <c r="E47" s="10" t="s">
        <v>10</v>
      </c>
      <c r="F47" t="s">
        <v>25</v>
      </c>
    </row>
    <row r="48" spans="1:6" ht="23.25" customHeight="1" x14ac:dyDescent="0.45">
      <c r="A48" s="6">
        <v>46</v>
      </c>
      <c r="B48" s="7" t="s">
        <v>102</v>
      </c>
      <c r="C48" s="36" t="s">
        <v>103</v>
      </c>
      <c r="D48" s="9" t="s">
        <v>9</v>
      </c>
      <c r="E48" s="10" t="s">
        <v>10</v>
      </c>
      <c r="F48" t="s">
        <v>104</v>
      </c>
    </row>
    <row r="49" spans="1:6" x14ac:dyDescent="0.45">
      <c r="A49" s="6">
        <v>47</v>
      </c>
      <c r="B49" s="7" t="s">
        <v>105</v>
      </c>
      <c r="C49" s="36" t="s">
        <v>106</v>
      </c>
      <c r="D49" s="9" t="s">
        <v>9</v>
      </c>
      <c r="E49" s="10" t="s">
        <v>10</v>
      </c>
      <c r="F49" t="s">
        <v>25</v>
      </c>
    </row>
    <row r="50" spans="1:6" ht="23.25" customHeight="1" x14ac:dyDescent="0.45">
      <c r="A50" s="6">
        <v>48</v>
      </c>
      <c r="B50" s="7" t="s">
        <v>107</v>
      </c>
      <c r="C50" s="36" t="s">
        <v>108</v>
      </c>
      <c r="D50" s="9" t="s">
        <v>9</v>
      </c>
      <c r="E50" s="10" t="s">
        <v>10</v>
      </c>
      <c r="F50" t="s">
        <v>109</v>
      </c>
    </row>
    <row r="51" spans="1:6" ht="23.25" customHeight="1" x14ac:dyDescent="0.45">
      <c r="A51" s="6">
        <v>49</v>
      </c>
      <c r="B51" s="7" t="s">
        <v>110</v>
      </c>
      <c r="C51" s="36" t="s">
        <v>111</v>
      </c>
      <c r="D51" s="9" t="s">
        <v>9</v>
      </c>
      <c r="E51" s="10" t="s">
        <v>10</v>
      </c>
      <c r="F51" t="s">
        <v>112</v>
      </c>
    </row>
    <row r="52" spans="1:6" ht="23.25" customHeight="1" x14ac:dyDescent="0.45">
      <c r="A52" s="6">
        <v>50</v>
      </c>
      <c r="B52" s="7" t="s">
        <v>113</v>
      </c>
      <c r="C52" s="36" t="s">
        <v>114</v>
      </c>
      <c r="D52" s="9" t="s">
        <v>9</v>
      </c>
      <c r="E52" s="10" t="s">
        <v>10</v>
      </c>
      <c r="F52" t="s">
        <v>115</v>
      </c>
    </row>
    <row r="53" spans="1:6" ht="23.25" customHeight="1" x14ac:dyDescent="0.45">
      <c r="A53" s="6">
        <v>51</v>
      </c>
      <c r="B53" s="7" t="s">
        <v>116</v>
      </c>
      <c r="C53" s="36" t="s">
        <v>117</v>
      </c>
      <c r="D53" s="9" t="s">
        <v>9</v>
      </c>
      <c r="E53" s="10" t="s">
        <v>10</v>
      </c>
      <c r="F53" t="s">
        <v>25</v>
      </c>
    </row>
    <row r="54" spans="1:6" ht="23.25" customHeight="1" x14ac:dyDescent="0.45">
      <c r="A54" s="6">
        <v>52</v>
      </c>
      <c r="B54" s="7" t="s">
        <v>118</v>
      </c>
      <c r="C54" s="36" t="s">
        <v>119</v>
      </c>
      <c r="D54" s="9" t="s">
        <v>9</v>
      </c>
      <c r="E54" s="10" t="s">
        <v>10</v>
      </c>
      <c r="F54" t="s">
        <v>25</v>
      </c>
    </row>
    <row r="55" spans="1:6" x14ac:dyDescent="0.45">
      <c r="A55" s="6">
        <v>53</v>
      </c>
      <c r="B55" s="7" t="s">
        <v>120</v>
      </c>
      <c r="C55" s="8" t="s">
        <v>121</v>
      </c>
      <c r="D55" s="9" t="s">
        <v>9</v>
      </c>
      <c r="E55" s="10" t="s">
        <v>10</v>
      </c>
      <c r="F55" t="s">
        <v>122</v>
      </c>
    </row>
    <row r="56" spans="1:6" ht="23.25" customHeight="1" x14ac:dyDescent="0.45">
      <c r="A56" s="6">
        <v>54</v>
      </c>
      <c r="B56" s="7" t="s">
        <v>123</v>
      </c>
      <c r="C56" s="36" t="s">
        <v>124</v>
      </c>
      <c r="D56" s="9" t="s">
        <v>9</v>
      </c>
      <c r="E56" s="10" t="s">
        <v>10</v>
      </c>
      <c r="F56" t="s">
        <v>25</v>
      </c>
    </row>
    <row r="57" spans="1:6" ht="23.25" customHeight="1" x14ac:dyDescent="0.45">
      <c r="A57" s="6">
        <v>55</v>
      </c>
      <c r="B57" s="7" t="s">
        <v>125</v>
      </c>
      <c r="C57" s="36" t="s">
        <v>126</v>
      </c>
      <c r="D57" s="9" t="s">
        <v>9</v>
      </c>
      <c r="E57" s="10" t="s">
        <v>10</v>
      </c>
      <c r="F57" t="s">
        <v>25</v>
      </c>
    </row>
    <row r="58" spans="1:6" x14ac:dyDescent="0.45">
      <c r="A58" s="6">
        <v>56</v>
      </c>
      <c r="B58" s="7" t="s">
        <v>127</v>
      </c>
      <c r="C58" s="8" t="s">
        <v>128</v>
      </c>
      <c r="D58" s="9" t="s">
        <v>9</v>
      </c>
      <c r="E58" s="10" t="s">
        <v>10</v>
      </c>
      <c r="F58" t="s">
        <v>25</v>
      </c>
    </row>
    <row r="59" spans="1:6" x14ac:dyDescent="0.45">
      <c r="A59" s="6">
        <v>57</v>
      </c>
      <c r="B59" s="7" t="s">
        <v>129</v>
      </c>
      <c r="C59" s="36" t="s">
        <v>2316</v>
      </c>
      <c r="D59" s="9" t="s">
        <v>9</v>
      </c>
      <c r="E59" s="10" t="s">
        <v>10</v>
      </c>
      <c r="F59" t="s">
        <v>131</v>
      </c>
    </row>
    <row r="60" spans="1:6" x14ac:dyDescent="0.45">
      <c r="A60" s="6">
        <v>58</v>
      </c>
      <c r="B60" s="7" t="s">
        <v>132</v>
      </c>
      <c r="C60" s="36" t="s">
        <v>130</v>
      </c>
      <c r="D60" s="9" t="s">
        <v>9</v>
      </c>
      <c r="E60" s="10" t="s">
        <v>10</v>
      </c>
      <c r="F60" t="s">
        <v>133</v>
      </c>
    </row>
    <row r="61" spans="1:6" x14ac:dyDescent="0.45">
      <c r="A61" s="6">
        <v>59</v>
      </c>
      <c r="B61" s="7" t="s">
        <v>134</v>
      </c>
      <c r="C61" s="36" t="s">
        <v>135</v>
      </c>
      <c r="D61" s="9" t="s">
        <v>9</v>
      </c>
      <c r="E61" s="10" t="s">
        <v>10</v>
      </c>
      <c r="F61" t="s">
        <v>25</v>
      </c>
    </row>
    <row r="62" spans="1:6" x14ac:dyDescent="0.45">
      <c r="A62" s="6">
        <v>60</v>
      </c>
      <c r="B62" s="7" t="s">
        <v>136</v>
      </c>
      <c r="C62" s="36" t="s">
        <v>137</v>
      </c>
      <c r="D62" s="9" t="s">
        <v>9</v>
      </c>
      <c r="E62" s="10" t="s">
        <v>10</v>
      </c>
      <c r="F62" t="s">
        <v>138</v>
      </c>
    </row>
    <row r="63" spans="1:6" x14ac:dyDescent="0.45">
      <c r="A63" s="6">
        <v>61</v>
      </c>
      <c r="B63" s="7" t="s">
        <v>139</v>
      </c>
      <c r="C63" s="36" t="s">
        <v>140</v>
      </c>
      <c r="D63" s="9" t="s">
        <v>9</v>
      </c>
      <c r="E63" s="10" t="s">
        <v>10</v>
      </c>
      <c r="F63" t="s">
        <v>25</v>
      </c>
    </row>
    <row r="64" spans="1:6" x14ac:dyDescent="0.45">
      <c r="A64" s="6">
        <v>62</v>
      </c>
      <c r="B64" s="7" t="s">
        <v>141</v>
      </c>
      <c r="C64" s="36" t="s">
        <v>142</v>
      </c>
      <c r="D64" s="9" t="s">
        <v>9</v>
      </c>
      <c r="E64" s="10" t="s">
        <v>10</v>
      </c>
      <c r="F64" t="s">
        <v>25</v>
      </c>
    </row>
    <row r="65" spans="1:6" ht="23.25" customHeight="1" x14ac:dyDescent="0.45">
      <c r="A65" s="6">
        <v>63</v>
      </c>
      <c r="B65" s="7" t="s">
        <v>143</v>
      </c>
      <c r="C65" s="36" t="s">
        <v>144</v>
      </c>
      <c r="D65" s="9" t="s">
        <v>9</v>
      </c>
      <c r="E65" s="10" t="s">
        <v>10</v>
      </c>
      <c r="F65" t="s">
        <v>11</v>
      </c>
    </row>
    <row r="66" spans="1:6" x14ac:dyDescent="0.45">
      <c r="A66" s="6">
        <v>64</v>
      </c>
      <c r="B66" s="7" t="s">
        <v>145</v>
      </c>
      <c r="C66" s="8" t="s">
        <v>146</v>
      </c>
      <c r="D66" s="9" t="s">
        <v>9</v>
      </c>
      <c r="E66" s="10" t="s">
        <v>10</v>
      </c>
      <c r="F66" t="s">
        <v>25</v>
      </c>
    </row>
    <row r="67" spans="1:6" ht="23.25" customHeight="1" x14ac:dyDescent="0.45">
      <c r="A67" s="6">
        <v>65</v>
      </c>
      <c r="B67" s="7" t="s">
        <v>147</v>
      </c>
      <c r="C67" s="36" t="s">
        <v>148</v>
      </c>
      <c r="D67" s="9" t="s">
        <v>9</v>
      </c>
      <c r="E67" s="10" t="s">
        <v>10</v>
      </c>
      <c r="F67" t="s">
        <v>149</v>
      </c>
    </row>
    <row r="68" spans="1:6" x14ac:dyDescent="0.45">
      <c r="A68" s="6">
        <v>66</v>
      </c>
      <c r="B68" s="7" t="s">
        <v>150</v>
      </c>
      <c r="C68" s="8" t="s">
        <v>151</v>
      </c>
      <c r="D68" s="9" t="s">
        <v>152</v>
      </c>
      <c r="E68" s="10" t="s">
        <v>10</v>
      </c>
      <c r="F68" t="s">
        <v>25</v>
      </c>
    </row>
    <row r="69" spans="1:6" x14ac:dyDescent="0.45">
      <c r="A69" s="6">
        <v>67</v>
      </c>
      <c r="B69" s="7" t="s">
        <v>153</v>
      </c>
      <c r="C69" s="8" t="s">
        <v>154</v>
      </c>
      <c r="D69" s="9" t="s">
        <v>152</v>
      </c>
      <c r="E69" s="10" t="s">
        <v>10</v>
      </c>
      <c r="F69" t="s">
        <v>25</v>
      </c>
    </row>
    <row r="70" spans="1:6" x14ac:dyDescent="0.45">
      <c r="A70" s="6">
        <v>68</v>
      </c>
      <c r="B70" s="7" t="s">
        <v>155</v>
      </c>
      <c r="C70" s="8" t="s">
        <v>156</v>
      </c>
      <c r="D70" s="9" t="s">
        <v>152</v>
      </c>
      <c r="E70" s="10" t="s">
        <v>10</v>
      </c>
      <c r="F70" t="s">
        <v>25</v>
      </c>
    </row>
    <row r="71" spans="1:6" x14ac:dyDescent="0.45">
      <c r="A71" s="6">
        <v>69</v>
      </c>
      <c r="B71" s="7" t="s">
        <v>157</v>
      </c>
      <c r="C71" s="8" t="s">
        <v>158</v>
      </c>
      <c r="D71" s="9" t="s">
        <v>152</v>
      </c>
      <c r="E71" s="10" t="s">
        <v>10</v>
      </c>
      <c r="F71" t="s">
        <v>25</v>
      </c>
    </row>
    <row r="72" spans="1:6" x14ac:dyDescent="0.45">
      <c r="A72" s="6">
        <v>70</v>
      </c>
      <c r="B72" s="7" t="s">
        <v>159</v>
      </c>
      <c r="C72" s="8" t="s">
        <v>160</v>
      </c>
      <c r="D72" s="9" t="s">
        <v>152</v>
      </c>
      <c r="E72" s="10" t="s">
        <v>10</v>
      </c>
      <c r="F72" t="s">
        <v>11</v>
      </c>
    </row>
    <row r="73" spans="1:6" x14ac:dyDescent="0.45">
      <c r="A73" s="6">
        <v>71</v>
      </c>
      <c r="B73" s="7" t="s">
        <v>161</v>
      </c>
      <c r="C73" s="8" t="s">
        <v>162</v>
      </c>
      <c r="D73" s="9" t="s">
        <v>152</v>
      </c>
      <c r="E73" s="10" t="s">
        <v>10</v>
      </c>
      <c r="F73" t="s">
        <v>25</v>
      </c>
    </row>
    <row r="74" spans="1:6" x14ac:dyDescent="0.45">
      <c r="A74" s="6">
        <v>72</v>
      </c>
      <c r="B74" s="7" t="s">
        <v>163</v>
      </c>
      <c r="C74" s="8" t="s">
        <v>164</v>
      </c>
      <c r="D74" s="9" t="s">
        <v>152</v>
      </c>
      <c r="E74" s="10" t="s">
        <v>10</v>
      </c>
      <c r="F74" t="s">
        <v>25</v>
      </c>
    </row>
    <row r="75" spans="1:6" x14ac:dyDescent="0.45">
      <c r="A75" s="6">
        <v>73</v>
      </c>
      <c r="B75" s="7" t="s">
        <v>165</v>
      </c>
      <c r="C75" s="8" t="s">
        <v>166</v>
      </c>
      <c r="D75" s="9" t="s">
        <v>152</v>
      </c>
      <c r="E75" s="10" t="s">
        <v>10</v>
      </c>
      <c r="F75" t="s">
        <v>25</v>
      </c>
    </row>
    <row r="76" spans="1:6" x14ac:dyDescent="0.45">
      <c r="A76" s="6">
        <v>74</v>
      </c>
      <c r="B76" s="7" t="s">
        <v>167</v>
      </c>
      <c r="C76" s="8" t="s">
        <v>168</v>
      </c>
      <c r="D76" s="9" t="s">
        <v>152</v>
      </c>
      <c r="E76" s="10" t="s">
        <v>10</v>
      </c>
      <c r="F76" t="s">
        <v>25</v>
      </c>
    </row>
    <row r="77" spans="1:6" x14ac:dyDescent="0.45">
      <c r="A77" s="6">
        <v>75</v>
      </c>
      <c r="B77" s="7" t="s">
        <v>169</v>
      </c>
      <c r="C77" s="8" t="s">
        <v>170</v>
      </c>
      <c r="D77" s="9" t="s">
        <v>152</v>
      </c>
      <c r="E77" s="10" t="s">
        <v>10</v>
      </c>
      <c r="F77" t="s">
        <v>11</v>
      </c>
    </row>
    <row r="78" spans="1:6" x14ac:dyDescent="0.45">
      <c r="A78" s="6">
        <v>76</v>
      </c>
      <c r="B78" s="7" t="s">
        <v>171</v>
      </c>
      <c r="C78" s="8" t="s">
        <v>172</v>
      </c>
      <c r="D78" s="9" t="s">
        <v>152</v>
      </c>
      <c r="E78" s="10" t="s">
        <v>10</v>
      </c>
      <c r="F78" t="s">
        <v>25</v>
      </c>
    </row>
    <row r="79" spans="1:6" x14ac:dyDescent="0.45">
      <c r="A79" s="6">
        <v>77</v>
      </c>
      <c r="B79" s="7" t="s">
        <v>173</v>
      </c>
      <c r="C79" s="8" t="s">
        <v>174</v>
      </c>
      <c r="D79" s="9" t="s">
        <v>152</v>
      </c>
      <c r="E79" s="10" t="s">
        <v>10</v>
      </c>
      <c r="F79" t="s">
        <v>25</v>
      </c>
    </row>
    <row r="80" spans="1:6" x14ac:dyDescent="0.45">
      <c r="A80" s="6">
        <v>78</v>
      </c>
      <c r="B80" s="7" t="s">
        <v>175</v>
      </c>
      <c r="C80" s="8" t="s">
        <v>176</v>
      </c>
      <c r="D80" s="9" t="s">
        <v>152</v>
      </c>
      <c r="E80" s="10" t="s">
        <v>10</v>
      </c>
      <c r="F80" t="s">
        <v>11</v>
      </c>
    </row>
    <row r="81" spans="1:6" x14ac:dyDescent="0.45">
      <c r="A81" s="6">
        <v>79</v>
      </c>
      <c r="B81" s="7" t="s">
        <v>177</v>
      </c>
      <c r="C81" s="8" t="s">
        <v>178</v>
      </c>
      <c r="D81" s="9" t="s">
        <v>152</v>
      </c>
      <c r="E81" s="10" t="s">
        <v>10</v>
      </c>
      <c r="F81" t="s">
        <v>25</v>
      </c>
    </row>
    <row r="82" spans="1:6" x14ac:dyDescent="0.45">
      <c r="A82" s="6">
        <v>80</v>
      </c>
      <c r="B82" s="7" t="s">
        <v>179</v>
      </c>
      <c r="C82" s="8" t="s">
        <v>180</v>
      </c>
      <c r="D82" s="9" t="s">
        <v>152</v>
      </c>
      <c r="E82" s="10" t="s">
        <v>10</v>
      </c>
      <c r="F82" t="s">
        <v>25</v>
      </c>
    </row>
    <row r="83" spans="1:6" x14ac:dyDescent="0.45">
      <c r="A83" s="6">
        <v>81</v>
      </c>
      <c r="B83" s="7" t="s">
        <v>181</v>
      </c>
      <c r="C83" s="8" t="s">
        <v>182</v>
      </c>
      <c r="D83" s="9" t="s">
        <v>152</v>
      </c>
      <c r="E83" s="10" t="s">
        <v>10</v>
      </c>
      <c r="F83" t="s">
        <v>25</v>
      </c>
    </row>
    <row r="84" spans="1:6" x14ac:dyDescent="0.45">
      <c r="A84" s="6">
        <v>82</v>
      </c>
      <c r="B84" s="7" t="s">
        <v>183</v>
      </c>
      <c r="C84" s="8" t="s">
        <v>184</v>
      </c>
      <c r="D84" s="9" t="s">
        <v>152</v>
      </c>
      <c r="E84" s="10" t="s">
        <v>10</v>
      </c>
      <c r="F84" t="s">
        <v>25</v>
      </c>
    </row>
    <row r="85" spans="1:6" x14ac:dyDescent="0.45">
      <c r="A85" s="6">
        <v>83</v>
      </c>
      <c r="B85" s="7" t="s">
        <v>185</v>
      </c>
      <c r="C85" s="8" t="s">
        <v>186</v>
      </c>
      <c r="D85" s="9" t="s">
        <v>152</v>
      </c>
      <c r="E85" s="10" t="s">
        <v>10</v>
      </c>
      <c r="F85" t="s">
        <v>25</v>
      </c>
    </row>
    <row r="86" spans="1:6" x14ac:dyDescent="0.45">
      <c r="A86" s="6">
        <v>84</v>
      </c>
      <c r="B86" s="7" t="s">
        <v>187</v>
      </c>
      <c r="C86" s="8" t="s">
        <v>188</v>
      </c>
      <c r="D86" s="9" t="s">
        <v>152</v>
      </c>
      <c r="E86" s="10" t="s">
        <v>10</v>
      </c>
      <c r="F86" t="s">
        <v>25</v>
      </c>
    </row>
    <row r="87" spans="1:6" x14ac:dyDescent="0.45">
      <c r="A87" s="6">
        <v>85</v>
      </c>
      <c r="B87" s="7" t="s">
        <v>189</v>
      </c>
      <c r="C87" s="8" t="s">
        <v>190</v>
      </c>
      <c r="D87" s="9" t="s">
        <v>152</v>
      </c>
      <c r="E87" s="10" t="s">
        <v>10</v>
      </c>
      <c r="F87" t="s">
        <v>25</v>
      </c>
    </row>
    <row r="88" spans="1:6" x14ac:dyDescent="0.45">
      <c r="A88" s="6">
        <v>86</v>
      </c>
      <c r="B88" s="7" t="s">
        <v>191</v>
      </c>
      <c r="C88" s="8" t="s">
        <v>192</v>
      </c>
      <c r="D88" s="9" t="s">
        <v>152</v>
      </c>
      <c r="E88" s="10" t="s">
        <v>10</v>
      </c>
      <c r="F88" t="s">
        <v>25</v>
      </c>
    </row>
    <row r="89" spans="1:6" x14ac:dyDescent="0.45">
      <c r="A89" s="6">
        <v>87</v>
      </c>
      <c r="B89" s="7" t="s">
        <v>193</v>
      </c>
      <c r="C89" s="8" t="s">
        <v>194</v>
      </c>
      <c r="D89" s="9" t="s">
        <v>152</v>
      </c>
      <c r="E89" s="10" t="s">
        <v>10</v>
      </c>
      <c r="F89" t="s">
        <v>11</v>
      </c>
    </row>
    <row r="90" spans="1:6" x14ac:dyDescent="0.45">
      <c r="A90" s="11">
        <v>88</v>
      </c>
      <c r="B90" s="12" t="s">
        <v>195</v>
      </c>
      <c r="C90" s="13" t="s">
        <v>196</v>
      </c>
      <c r="D90" s="14" t="s">
        <v>152</v>
      </c>
      <c r="E90" s="15" t="s">
        <v>197</v>
      </c>
    </row>
    <row r="91" spans="1:6" x14ac:dyDescent="0.45">
      <c r="A91" s="11">
        <v>89</v>
      </c>
      <c r="B91" s="12" t="s">
        <v>198</v>
      </c>
      <c r="C91" s="13" t="s">
        <v>199</v>
      </c>
      <c r="D91" s="14" t="s">
        <v>152</v>
      </c>
      <c r="E91" s="15" t="s">
        <v>197</v>
      </c>
    </row>
    <row r="92" spans="1:6" x14ac:dyDescent="0.45">
      <c r="A92" s="11">
        <v>90</v>
      </c>
      <c r="B92" s="12" t="s">
        <v>200</v>
      </c>
      <c r="C92" s="13" t="s">
        <v>201</v>
      </c>
      <c r="D92" s="14" t="s">
        <v>152</v>
      </c>
      <c r="E92" s="15" t="s">
        <v>2317</v>
      </c>
    </row>
    <row r="93" spans="1:6" x14ac:dyDescent="0.45">
      <c r="A93" s="11">
        <v>91</v>
      </c>
      <c r="B93" s="12" t="s">
        <v>202</v>
      </c>
      <c r="C93" s="13" t="s">
        <v>203</v>
      </c>
      <c r="D93" s="14" t="s">
        <v>152</v>
      </c>
      <c r="E93" s="15" t="s">
        <v>2317</v>
      </c>
    </row>
    <row r="94" spans="1:6" x14ac:dyDescent="0.45">
      <c r="A94" s="11">
        <v>92</v>
      </c>
      <c r="B94" s="12" t="s">
        <v>204</v>
      </c>
      <c r="C94" s="13" t="s">
        <v>205</v>
      </c>
      <c r="D94" s="14" t="s">
        <v>152</v>
      </c>
      <c r="E94" s="50" t="s">
        <v>10</v>
      </c>
    </row>
    <row r="95" spans="1:6" x14ac:dyDescent="0.45">
      <c r="A95" s="11">
        <v>93</v>
      </c>
      <c r="B95" s="12" t="s">
        <v>206</v>
      </c>
      <c r="C95" s="37" t="s">
        <v>207</v>
      </c>
      <c r="D95" s="14" t="s">
        <v>152</v>
      </c>
      <c r="E95" s="50" t="s">
        <v>10</v>
      </c>
    </row>
    <row r="96" spans="1:6" x14ac:dyDescent="0.45">
      <c r="A96" s="11">
        <v>94</v>
      </c>
      <c r="B96" s="12" t="s">
        <v>208</v>
      </c>
      <c r="C96" s="13" t="s">
        <v>209</v>
      </c>
      <c r="D96" s="14" t="s">
        <v>152</v>
      </c>
      <c r="E96" s="15" t="s">
        <v>197</v>
      </c>
    </row>
    <row r="97" spans="1:5" x14ac:dyDescent="0.45">
      <c r="A97" s="11">
        <v>95</v>
      </c>
      <c r="B97" s="12" t="s">
        <v>120</v>
      </c>
      <c r="C97" s="13" t="s">
        <v>121</v>
      </c>
      <c r="D97" s="14" t="s">
        <v>152</v>
      </c>
      <c r="E97" s="50" t="s">
        <v>10</v>
      </c>
    </row>
    <row r="98" spans="1:5" x14ac:dyDescent="0.45">
      <c r="A98" s="11">
        <v>96</v>
      </c>
      <c r="B98" s="12" t="s">
        <v>210</v>
      </c>
      <c r="C98" s="13" t="s">
        <v>211</v>
      </c>
      <c r="D98" s="14" t="s">
        <v>152</v>
      </c>
      <c r="E98" s="15" t="s">
        <v>197</v>
      </c>
    </row>
    <row r="99" spans="1:5" x14ac:dyDescent="0.45">
      <c r="A99" s="11">
        <v>97</v>
      </c>
      <c r="B99" s="12" t="s">
        <v>212</v>
      </c>
      <c r="C99" s="13" t="s">
        <v>213</v>
      </c>
      <c r="D99" s="14" t="s">
        <v>152</v>
      </c>
      <c r="E99" s="15" t="s">
        <v>2317</v>
      </c>
    </row>
    <row r="100" spans="1:5" x14ac:dyDescent="0.45">
      <c r="A100" s="11">
        <v>98</v>
      </c>
      <c r="B100" s="12" t="s">
        <v>214</v>
      </c>
      <c r="C100" s="13" t="s">
        <v>215</v>
      </c>
      <c r="D100" s="14" t="s">
        <v>152</v>
      </c>
      <c r="E100" s="15" t="s">
        <v>197</v>
      </c>
    </row>
    <row r="101" spans="1:5" x14ac:dyDescent="0.45">
      <c r="A101" s="11">
        <v>99</v>
      </c>
      <c r="B101" s="12" t="s">
        <v>216</v>
      </c>
      <c r="C101" s="13" t="s">
        <v>217</v>
      </c>
      <c r="D101" s="14" t="s">
        <v>152</v>
      </c>
      <c r="E101" s="15" t="s">
        <v>197</v>
      </c>
    </row>
    <row r="102" spans="1:5" x14ac:dyDescent="0.45">
      <c r="A102" s="11">
        <v>100</v>
      </c>
      <c r="B102" s="12" t="s">
        <v>218</v>
      </c>
      <c r="C102" s="13" t="s">
        <v>219</v>
      </c>
      <c r="D102" s="14" t="s">
        <v>152</v>
      </c>
      <c r="E102" s="15" t="s">
        <v>197</v>
      </c>
    </row>
    <row r="103" spans="1:5" x14ac:dyDescent="0.45">
      <c r="A103" s="11">
        <v>101</v>
      </c>
      <c r="B103" s="12" t="s">
        <v>220</v>
      </c>
      <c r="C103" s="13" t="s">
        <v>221</v>
      </c>
      <c r="D103" s="14" t="s">
        <v>152</v>
      </c>
      <c r="E103" s="15" t="s">
        <v>197</v>
      </c>
    </row>
    <row r="104" spans="1:5" x14ac:dyDescent="0.45">
      <c r="A104" s="11">
        <v>102</v>
      </c>
      <c r="B104" s="12" t="s">
        <v>222</v>
      </c>
      <c r="C104" s="13" t="s">
        <v>223</v>
      </c>
      <c r="D104" s="14" t="s">
        <v>152</v>
      </c>
      <c r="E104" s="15" t="s">
        <v>197</v>
      </c>
    </row>
    <row r="105" spans="1:5" x14ac:dyDescent="0.45">
      <c r="A105" s="11">
        <v>103</v>
      </c>
      <c r="B105" s="12" t="s">
        <v>224</v>
      </c>
      <c r="C105" s="13" t="s">
        <v>225</v>
      </c>
      <c r="D105" s="14" t="s">
        <v>152</v>
      </c>
      <c r="E105" s="15" t="s">
        <v>197</v>
      </c>
    </row>
    <row r="106" spans="1:5" x14ac:dyDescent="0.45">
      <c r="A106" s="11">
        <v>104</v>
      </c>
      <c r="B106" s="12" t="s">
        <v>226</v>
      </c>
      <c r="C106" s="13" t="s">
        <v>227</v>
      </c>
      <c r="D106" s="14" t="s">
        <v>152</v>
      </c>
      <c r="E106" s="15" t="s">
        <v>197</v>
      </c>
    </row>
    <row r="107" spans="1:5" x14ac:dyDescent="0.45">
      <c r="A107" s="11">
        <v>105</v>
      </c>
      <c r="B107" s="12" t="s">
        <v>228</v>
      </c>
      <c r="C107" s="13" t="s">
        <v>229</v>
      </c>
      <c r="D107" s="14" t="s">
        <v>152</v>
      </c>
      <c r="E107" s="50" t="s">
        <v>10</v>
      </c>
    </row>
    <row r="108" spans="1:5" x14ac:dyDescent="0.45">
      <c r="A108" s="11">
        <v>106</v>
      </c>
      <c r="B108" s="12" t="s">
        <v>230</v>
      </c>
      <c r="C108" s="13" t="s">
        <v>231</v>
      </c>
      <c r="D108" s="14" t="s">
        <v>152</v>
      </c>
      <c r="E108" s="15" t="s">
        <v>197</v>
      </c>
    </row>
    <row r="109" spans="1:5" x14ac:dyDescent="0.45">
      <c r="A109" s="11">
        <v>107</v>
      </c>
      <c r="B109" s="12" t="s">
        <v>232</v>
      </c>
      <c r="C109" s="13" t="s">
        <v>233</v>
      </c>
      <c r="D109" s="14" t="s">
        <v>152</v>
      </c>
      <c r="E109" s="50" t="s">
        <v>10</v>
      </c>
    </row>
    <row r="110" spans="1:5" x14ac:dyDescent="0.45">
      <c r="A110" s="11">
        <v>108</v>
      </c>
      <c r="B110" s="12" t="s">
        <v>234</v>
      </c>
      <c r="C110" s="13" t="s">
        <v>235</v>
      </c>
      <c r="D110" s="14" t="s">
        <v>152</v>
      </c>
      <c r="E110" s="15" t="s">
        <v>197</v>
      </c>
    </row>
    <row r="111" spans="1:5" x14ac:dyDescent="0.45">
      <c r="A111" s="11">
        <v>109</v>
      </c>
      <c r="B111" s="12" t="s">
        <v>236</v>
      </c>
      <c r="C111" s="13" t="s">
        <v>237</v>
      </c>
      <c r="D111" s="14" t="s">
        <v>152</v>
      </c>
      <c r="E111" s="15" t="s">
        <v>197</v>
      </c>
    </row>
    <row r="112" spans="1:5" x14ac:dyDescent="0.45">
      <c r="A112" s="11">
        <v>110</v>
      </c>
      <c r="B112" s="12" t="s">
        <v>238</v>
      </c>
      <c r="C112" s="13" t="s">
        <v>239</v>
      </c>
      <c r="D112" s="14" t="s">
        <v>152</v>
      </c>
      <c r="E112" s="15" t="s">
        <v>197</v>
      </c>
    </row>
    <row r="113" spans="1:5" x14ac:dyDescent="0.45">
      <c r="A113" s="11">
        <v>111</v>
      </c>
      <c r="B113" s="12" t="s">
        <v>240</v>
      </c>
      <c r="C113" s="13" t="s">
        <v>241</v>
      </c>
      <c r="D113" s="14" t="s">
        <v>152</v>
      </c>
      <c r="E113" s="50" t="s">
        <v>10</v>
      </c>
    </row>
    <row r="114" spans="1:5" x14ac:dyDescent="0.45">
      <c r="A114" s="11">
        <v>112</v>
      </c>
      <c r="B114" s="12" t="s">
        <v>242</v>
      </c>
      <c r="C114" s="13" t="s">
        <v>243</v>
      </c>
      <c r="D114" s="14" t="s">
        <v>152</v>
      </c>
      <c r="E114" s="15" t="s">
        <v>197</v>
      </c>
    </row>
    <row r="115" spans="1:5" x14ac:dyDescent="0.45">
      <c r="A115" s="11">
        <v>113</v>
      </c>
      <c r="B115" s="12" t="s">
        <v>244</v>
      </c>
      <c r="C115" s="13" t="s">
        <v>245</v>
      </c>
      <c r="D115" s="14" t="s">
        <v>152</v>
      </c>
      <c r="E115" s="15" t="s">
        <v>197</v>
      </c>
    </row>
    <row r="116" spans="1:5" x14ac:dyDescent="0.45">
      <c r="A116" s="11">
        <v>114</v>
      </c>
      <c r="B116" s="12" t="s">
        <v>246</v>
      </c>
      <c r="C116" s="13" t="s">
        <v>247</v>
      </c>
      <c r="D116" s="14" t="s">
        <v>152</v>
      </c>
      <c r="E116" s="50" t="s">
        <v>10</v>
      </c>
    </row>
    <row r="117" spans="1:5" x14ac:dyDescent="0.45">
      <c r="A117" s="11">
        <v>115</v>
      </c>
      <c r="B117" s="12" t="s">
        <v>248</v>
      </c>
      <c r="C117" s="13" t="s">
        <v>249</v>
      </c>
      <c r="D117" s="14" t="s">
        <v>152</v>
      </c>
      <c r="E117" s="15" t="s">
        <v>197</v>
      </c>
    </row>
    <row r="118" spans="1:5" x14ac:dyDescent="0.45">
      <c r="A118" s="11">
        <v>116</v>
      </c>
      <c r="B118" s="12" t="s">
        <v>250</v>
      </c>
      <c r="C118" s="13" t="s">
        <v>251</v>
      </c>
      <c r="D118" s="14" t="s">
        <v>152</v>
      </c>
      <c r="E118" s="15" t="s">
        <v>197</v>
      </c>
    </row>
    <row r="119" spans="1:5" x14ac:dyDescent="0.45">
      <c r="A119" s="11">
        <v>117</v>
      </c>
      <c r="B119" s="12" t="s">
        <v>252</v>
      </c>
      <c r="C119" s="13" t="s">
        <v>253</v>
      </c>
      <c r="D119" s="14" t="s">
        <v>152</v>
      </c>
      <c r="E119" s="15" t="s">
        <v>197</v>
      </c>
    </row>
    <row r="120" spans="1:5" x14ac:dyDescent="0.45">
      <c r="A120" s="11">
        <v>118</v>
      </c>
      <c r="B120" s="12" t="s">
        <v>254</v>
      </c>
      <c r="C120" s="13" t="s">
        <v>255</v>
      </c>
      <c r="D120" s="14" t="s">
        <v>152</v>
      </c>
      <c r="E120" s="15" t="s">
        <v>197</v>
      </c>
    </row>
    <row r="121" spans="1:5" x14ac:dyDescent="0.45">
      <c r="A121" s="11">
        <v>119</v>
      </c>
      <c r="B121" s="12" t="s">
        <v>256</v>
      </c>
      <c r="C121" s="13" t="s">
        <v>257</v>
      </c>
      <c r="D121" s="14" t="s">
        <v>152</v>
      </c>
      <c r="E121" s="15" t="s">
        <v>197</v>
      </c>
    </row>
    <row r="122" spans="1:5" x14ac:dyDescent="0.45">
      <c r="A122" s="11">
        <v>120</v>
      </c>
      <c r="B122" s="12" t="s">
        <v>258</v>
      </c>
      <c r="C122" s="13" t="s">
        <v>259</v>
      </c>
      <c r="D122" s="14" t="s">
        <v>152</v>
      </c>
      <c r="E122" s="15" t="s">
        <v>197</v>
      </c>
    </row>
    <row r="123" spans="1:5" x14ac:dyDescent="0.45">
      <c r="A123" s="11">
        <v>121</v>
      </c>
      <c r="B123" s="12" t="s">
        <v>260</v>
      </c>
      <c r="C123" s="13" t="s">
        <v>261</v>
      </c>
      <c r="D123" s="14" t="s">
        <v>152</v>
      </c>
      <c r="E123" s="15" t="s">
        <v>197</v>
      </c>
    </row>
    <row r="124" spans="1:5" x14ac:dyDescent="0.45">
      <c r="A124" s="11">
        <v>122</v>
      </c>
      <c r="B124" s="12" t="s">
        <v>262</v>
      </c>
      <c r="C124" s="13" t="s">
        <v>263</v>
      </c>
      <c r="D124" s="14" t="s">
        <v>152</v>
      </c>
      <c r="E124" s="15" t="s">
        <v>197</v>
      </c>
    </row>
    <row r="125" spans="1:5" x14ac:dyDescent="0.45">
      <c r="A125" s="11">
        <v>123</v>
      </c>
      <c r="B125" s="12" t="s">
        <v>264</v>
      </c>
      <c r="C125" s="13" t="s">
        <v>265</v>
      </c>
      <c r="D125" s="14" t="s">
        <v>152</v>
      </c>
      <c r="E125" s="15" t="s">
        <v>197</v>
      </c>
    </row>
    <row r="126" spans="1:5" x14ac:dyDescent="0.45">
      <c r="A126" s="11">
        <v>124</v>
      </c>
      <c r="B126" s="12" t="s">
        <v>266</v>
      </c>
      <c r="C126" s="13" t="s">
        <v>233</v>
      </c>
      <c r="D126" s="14" t="s">
        <v>152</v>
      </c>
      <c r="E126" s="15" t="s">
        <v>197</v>
      </c>
    </row>
    <row r="127" spans="1:5" x14ac:dyDescent="0.45">
      <c r="A127" s="11">
        <v>125</v>
      </c>
      <c r="B127" s="12" t="s">
        <v>267</v>
      </c>
      <c r="C127" s="13" t="s">
        <v>268</v>
      </c>
      <c r="D127" s="14" t="s">
        <v>152</v>
      </c>
      <c r="E127" s="15" t="s">
        <v>197</v>
      </c>
    </row>
    <row r="128" spans="1:5" x14ac:dyDescent="0.45">
      <c r="A128" s="11">
        <v>126</v>
      </c>
      <c r="B128" s="12" t="s">
        <v>269</v>
      </c>
      <c r="C128" s="13" t="s">
        <v>270</v>
      </c>
      <c r="D128" s="14" t="s">
        <v>152</v>
      </c>
      <c r="E128" s="15" t="s">
        <v>197</v>
      </c>
    </row>
    <row r="129" spans="1:5" x14ac:dyDescent="0.45">
      <c r="A129" s="11">
        <v>127</v>
      </c>
      <c r="B129" s="12" t="s">
        <v>271</v>
      </c>
      <c r="C129" s="13" t="s">
        <v>272</v>
      </c>
      <c r="D129" s="14" t="s">
        <v>152</v>
      </c>
      <c r="E129" s="15" t="s">
        <v>197</v>
      </c>
    </row>
    <row r="130" spans="1:5" x14ac:dyDescent="0.45">
      <c r="A130" s="11">
        <v>128</v>
      </c>
      <c r="B130" s="12" t="s">
        <v>273</v>
      </c>
      <c r="C130" s="13" t="s">
        <v>274</v>
      </c>
      <c r="D130" s="14" t="s">
        <v>152</v>
      </c>
      <c r="E130" s="15" t="s">
        <v>197</v>
      </c>
    </row>
    <row r="131" spans="1:5" x14ac:dyDescent="0.45">
      <c r="A131" s="11">
        <v>129</v>
      </c>
      <c r="B131" s="12" t="s">
        <v>275</v>
      </c>
      <c r="C131" s="13" t="s">
        <v>276</v>
      </c>
      <c r="D131" s="14" t="s">
        <v>152</v>
      </c>
      <c r="E131" s="15" t="s">
        <v>197</v>
      </c>
    </row>
    <row r="132" spans="1:5" x14ac:dyDescent="0.45">
      <c r="A132" s="11">
        <v>130</v>
      </c>
      <c r="B132" s="12" t="s">
        <v>277</v>
      </c>
      <c r="C132" s="13" t="s">
        <v>278</v>
      </c>
      <c r="D132" s="14" t="s">
        <v>152</v>
      </c>
      <c r="E132" s="15" t="s">
        <v>197</v>
      </c>
    </row>
    <row r="133" spans="1:5" x14ac:dyDescent="0.45">
      <c r="A133" s="11">
        <v>131</v>
      </c>
      <c r="B133" s="12" t="s">
        <v>279</v>
      </c>
      <c r="C133" s="13" t="s">
        <v>280</v>
      </c>
      <c r="D133" s="14" t="s">
        <v>152</v>
      </c>
      <c r="E133" s="15" t="s">
        <v>197</v>
      </c>
    </row>
    <row r="134" spans="1:5" x14ac:dyDescent="0.45">
      <c r="A134" s="11">
        <v>132</v>
      </c>
      <c r="B134" s="12" t="s">
        <v>281</v>
      </c>
      <c r="C134" s="13" t="s">
        <v>282</v>
      </c>
      <c r="D134" s="14" t="s">
        <v>152</v>
      </c>
      <c r="E134" s="15" t="s">
        <v>197</v>
      </c>
    </row>
    <row r="135" spans="1:5" x14ac:dyDescent="0.45">
      <c r="A135" s="11">
        <v>133</v>
      </c>
      <c r="B135" s="12" t="s">
        <v>283</v>
      </c>
      <c r="C135" s="13" t="s">
        <v>284</v>
      </c>
      <c r="D135" s="14" t="s">
        <v>152</v>
      </c>
      <c r="E135" s="15" t="s">
        <v>2317</v>
      </c>
    </row>
    <row r="136" spans="1:5" x14ac:dyDescent="0.45">
      <c r="A136" s="11">
        <v>134</v>
      </c>
      <c r="B136" s="12" t="s">
        <v>285</v>
      </c>
      <c r="C136" s="13" t="s">
        <v>286</v>
      </c>
      <c r="D136" s="14" t="s">
        <v>152</v>
      </c>
      <c r="E136" s="15" t="s">
        <v>2317</v>
      </c>
    </row>
    <row r="137" spans="1:5" x14ac:dyDescent="0.45">
      <c r="A137" s="11">
        <v>135</v>
      </c>
      <c r="B137" s="12" t="s">
        <v>287</v>
      </c>
      <c r="C137" s="13" t="s">
        <v>288</v>
      </c>
      <c r="D137" s="14" t="s">
        <v>152</v>
      </c>
      <c r="E137" s="15" t="s">
        <v>2318</v>
      </c>
    </row>
    <row r="138" spans="1:5" x14ac:dyDescent="0.45">
      <c r="A138" s="11">
        <v>136</v>
      </c>
      <c r="B138" s="12" t="s">
        <v>289</v>
      </c>
      <c r="C138" s="13" t="s">
        <v>290</v>
      </c>
      <c r="D138" s="14" t="s">
        <v>152</v>
      </c>
      <c r="E138" s="15" t="s">
        <v>2318</v>
      </c>
    </row>
    <row r="139" spans="1:5" x14ac:dyDescent="0.45">
      <c r="A139" s="11">
        <v>137</v>
      </c>
      <c r="B139" s="12" t="s">
        <v>291</v>
      </c>
      <c r="C139" s="13" t="s">
        <v>292</v>
      </c>
      <c r="D139" s="14" t="s">
        <v>152</v>
      </c>
      <c r="E139" s="15" t="s">
        <v>2318</v>
      </c>
    </row>
    <row r="140" spans="1:5" x14ac:dyDescent="0.45">
      <c r="A140" s="11">
        <v>138</v>
      </c>
      <c r="B140" s="12" t="s">
        <v>293</v>
      </c>
      <c r="C140" s="13" t="s">
        <v>294</v>
      </c>
      <c r="D140" s="14" t="s">
        <v>152</v>
      </c>
      <c r="E140" s="15" t="s">
        <v>2318</v>
      </c>
    </row>
    <row r="141" spans="1:5" x14ac:dyDescent="0.45">
      <c r="A141" s="11">
        <v>139</v>
      </c>
      <c r="B141" s="12" t="s">
        <v>295</v>
      </c>
      <c r="C141" s="13" t="s">
        <v>296</v>
      </c>
      <c r="D141" s="14" t="s">
        <v>152</v>
      </c>
      <c r="E141" s="15" t="s">
        <v>2318</v>
      </c>
    </row>
    <row r="142" spans="1:5" x14ac:dyDescent="0.45">
      <c r="A142" s="11">
        <v>140</v>
      </c>
      <c r="B142" s="12" t="s">
        <v>297</v>
      </c>
      <c r="C142" s="13" t="s">
        <v>298</v>
      </c>
      <c r="D142" s="14" t="s">
        <v>152</v>
      </c>
      <c r="E142" s="15" t="s">
        <v>2318</v>
      </c>
    </row>
    <row r="143" spans="1:5" x14ac:dyDescent="0.45">
      <c r="A143" s="11">
        <v>141</v>
      </c>
      <c r="B143" s="12" t="s">
        <v>299</v>
      </c>
      <c r="C143" s="13" t="s">
        <v>300</v>
      </c>
      <c r="D143" s="14" t="s">
        <v>152</v>
      </c>
      <c r="E143" s="15" t="s">
        <v>2318</v>
      </c>
    </row>
    <row r="144" spans="1:5" x14ac:dyDescent="0.45">
      <c r="A144" s="11">
        <v>142</v>
      </c>
      <c r="B144" s="12" t="s">
        <v>301</v>
      </c>
      <c r="C144" s="13" t="s">
        <v>302</v>
      </c>
      <c r="D144" s="14" t="s">
        <v>152</v>
      </c>
      <c r="E144" s="15" t="s">
        <v>2318</v>
      </c>
    </row>
    <row r="145" spans="1:5" x14ac:dyDescent="0.45">
      <c r="A145" s="11">
        <v>143</v>
      </c>
      <c r="B145" s="12" t="s">
        <v>303</v>
      </c>
      <c r="C145" s="13" t="s">
        <v>304</v>
      </c>
      <c r="D145" s="14" t="s">
        <v>152</v>
      </c>
      <c r="E145" s="15" t="s">
        <v>2318</v>
      </c>
    </row>
    <row r="146" spans="1:5" x14ac:dyDescent="0.45">
      <c r="A146" s="11">
        <v>144</v>
      </c>
      <c r="B146" s="12" t="s">
        <v>305</v>
      </c>
      <c r="C146" s="13" t="s">
        <v>306</v>
      </c>
      <c r="D146" s="14" t="s">
        <v>152</v>
      </c>
      <c r="E146" s="15" t="s">
        <v>2318</v>
      </c>
    </row>
    <row r="147" spans="1:5" x14ac:dyDescent="0.45">
      <c r="A147" s="11">
        <v>145</v>
      </c>
      <c r="B147" s="12" t="s">
        <v>307</v>
      </c>
      <c r="C147" s="13" t="s">
        <v>308</v>
      </c>
      <c r="D147" s="14" t="s">
        <v>152</v>
      </c>
      <c r="E147" s="15" t="s">
        <v>2318</v>
      </c>
    </row>
    <row r="148" spans="1:5" x14ac:dyDescent="0.45">
      <c r="A148" s="11">
        <v>146</v>
      </c>
      <c r="B148" s="12" t="s">
        <v>309</v>
      </c>
      <c r="C148" s="13" t="s">
        <v>310</v>
      </c>
      <c r="D148" s="14" t="s">
        <v>152</v>
      </c>
      <c r="E148" s="15" t="s">
        <v>2318</v>
      </c>
    </row>
    <row r="149" spans="1:5" x14ac:dyDescent="0.45">
      <c r="A149" s="11">
        <v>147</v>
      </c>
      <c r="B149" s="12" t="s">
        <v>311</v>
      </c>
      <c r="C149" s="13" t="s">
        <v>312</v>
      </c>
      <c r="D149" s="14" t="s">
        <v>152</v>
      </c>
      <c r="E149" s="15" t="s">
        <v>2318</v>
      </c>
    </row>
    <row r="150" spans="1:5" x14ac:dyDescent="0.45">
      <c r="A150" s="11">
        <v>148</v>
      </c>
      <c r="B150" s="12" t="s">
        <v>313</v>
      </c>
      <c r="C150" s="13" t="s">
        <v>314</v>
      </c>
      <c r="D150" s="14" t="s">
        <v>152</v>
      </c>
      <c r="E150" s="15" t="s">
        <v>197</v>
      </c>
    </row>
    <row r="151" spans="1:5" x14ac:dyDescent="0.45">
      <c r="A151" s="11">
        <v>149</v>
      </c>
      <c r="B151" s="12" t="s">
        <v>315</v>
      </c>
      <c r="C151" s="13" t="s">
        <v>316</v>
      </c>
      <c r="D151" s="14" t="s">
        <v>152</v>
      </c>
      <c r="E151" s="15" t="s">
        <v>197</v>
      </c>
    </row>
    <row r="152" spans="1:5" x14ac:dyDescent="0.45">
      <c r="A152" s="11">
        <v>150</v>
      </c>
      <c r="B152" s="12" t="s">
        <v>317</v>
      </c>
      <c r="C152" s="13" t="s">
        <v>318</v>
      </c>
      <c r="D152" s="14" t="s">
        <v>152</v>
      </c>
      <c r="E152" s="15" t="s">
        <v>197</v>
      </c>
    </row>
    <row r="153" spans="1:5" x14ac:dyDescent="0.45">
      <c r="A153" s="11">
        <v>151</v>
      </c>
      <c r="B153" s="12" t="s">
        <v>319</v>
      </c>
      <c r="C153" s="13" t="s">
        <v>320</v>
      </c>
      <c r="D153" s="14" t="s">
        <v>152</v>
      </c>
      <c r="E153" s="15" t="s">
        <v>197</v>
      </c>
    </row>
    <row r="154" spans="1:5" x14ac:dyDescent="0.45">
      <c r="A154" s="11">
        <v>152</v>
      </c>
      <c r="B154" s="12" t="s">
        <v>321</v>
      </c>
      <c r="C154" s="13" t="s">
        <v>322</v>
      </c>
      <c r="D154" s="14" t="s">
        <v>152</v>
      </c>
      <c r="E154" s="15" t="s">
        <v>197</v>
      </c>
    </row>
    <row r="155" spans="1:5" x14ac:dyDescent="0.45">
      <c r="A155" s="11">
        <v>153</v>
      </c>
      <c r="B155" s="12" t="s">
        <v>323</v>
      </c>
      <c r="C155" s="13" t="s">
        <v>324</v>
      </c>
      <c r="D155" s="14" t="s">
        <v>152</v>
      </c>
      <c r="E155" s="15" t="s">
        <v>197</v>
      </c>
    </row>
    <row r="156" spans="1:5" x14ac:dyDescent="0.45">
      <c r="A156" s="11">
        <v>154</v>
      </c>
      <c r="B156" s="12" t="s">
        <v>325</v>
      </c>
      <c r="C156" s="13" t="s">
        <v>326</v>
      </c>
      <c r="D156" s="14" t="s">
        <v>152</v>
      </c>
      <c r="E156" s="15" t="s">
        <v>197</v>
      </c>
    </row>
    <row r="157" spans="1:5" x14ac:dyDescent="0.45">
      <c r="A157" s="11">
        <v>155</v>
      </c>
      <c r="B157" s="12" t="s">
        <v>327</v>
      </c>
      <c r="C157" s="13" t="s">
        <v>328</v>
      </c>
      <c r="D157" s="14" t="s">
        <v>152</v>
      </c>
      <c r="E157" s="15" t="s">
        <v>197</v>
      </c>
    </row>
    <row r="158" spans="1:5" x14ac:dyDescent="0.45">
      <c r="A158" s="11">
        <v>156</v>
      </c>
      <c r="B158" s="12" t="s">
        <v>329</v>
      </c>
      <c r="C158" s="13" t="s">
        <v>330</v>
      </c>
      <c r="D158" s="14" t="s">
        <v>152</v>
      </c>
      <c r="E158" s="15" t="s">
        <v>197</v>
      </c>
    </row>
    <row r="159" spans="1:5" x14ac:dyDescent="0.45">
      <c r="A159" s="11">
        <v>157</v>
      </c>
      <c r="B159" s="12" t="s">
        <v>331</v>
      </c>
      <c r="C159" s="13" t="s">
        <v>332</v>
      </c>
      <c r="D159" s="14" t="s">
        <v>152</v>
      </c>
      <c r="E159" s="15" t="s">
        <v>197</v>
      </c>
    </row>
    <row r="160" spans="1:5" x14ac:dyDescent="0.45">
      <c r="A160" s="11">
        <v>158</v>
      </c>
      <c r="B160" s="12" t="s">
        <v>333</v>
      </c>
      <c r="C160" s="13" t="s">
        <v>334</v>
      </c>
      <c r="D160" s="14" t="s">
        <v>152</v>
      </c>
      <c r="E160" s="15" t="s">
        <v>197</v>
      </c>
    </row>
    <row r="161" spans="1:5" x14ac:dyDescent="0.45">
      <c r="A161" s="11">
        <v>159</v>
      </c>
      <c r="B161" s="12" t="s">
        <v>335</v>
      </c>
      <c r="C161" s="13" t="s">
        <v>336</v>
      </c>
      <c r="D161" s="14" t="s">
        <v>152</v>
      </c>
      <c r="E161" s="15" t="s">
        <v>197</v>
      </c>
    </row>
    <row r="162" spans="1:5" x14ac:dyDescent="0.45">
      <c r="A162" s="11">
        <v>160</v>
      </c>
      <c r="B162" s="12" t="s">
        <v>337</v>
      </c>
      <c r="C162" s="13" t="s">
        <v>338</v>
      </c>
      <c r="D162" s="14" t="s">
        <v>152</v>
      </c>
      <c r="E162" s="15" t="s">
        <v>197</v>
      </c>
    </row>
    <row r="163" spans="1:5" x14ac:dyDescent="0.45">
      <c r="A163" s="11">
        <v>161</v>
      </c>
      <c r="B163" s="12" t="s">
        <v>339</v>
      </c>
      <c r="C163" s="13" t="s">
        <v>340</v>
      </c>
      <c r="D163" s="14" t="s">
        <v>152</v>
      </c>
      <c r="E163" s="15" t="s">
        <v>197</v>
      </c>
    </row>
    <row r="164" spans="1:5" x14ac:dyDescent="0.45">
      <c r="A164" s="11">
        <v>162</v>
      </c>
      <c r="B164" s="12" t="s">
        <v>341</v>
      </c>
      <c r="C164" s="13" t="s">
        <v>342</v>
      </c>
      <c r="D164" s="14" t="s">
        <v>152</v>
      </c>
      <c r="E164" s="15" t="s">
        <v>197</v>
      </c>
    </row>
    <row r="165" spans="1:5" x14ac:dyDescent="0.45">
      <c r="A165" s="11">
        <v>163</v>
      </c>
      <c r="B165" s="12" t="s">
        <v>343</v>
      </c>
      <c r="C165" s="13" t="s">
        <v>344</v>
      </c>
      <c r="D165" s="14" t="s">
        <v>152</v>
      </c>
      <c r="E165" s="15" t="s">
        <v>197</v>
      </c>
    </row>
    <row r="166" spans="1:5" x14ac:dyDescent="0.45">
      <c r="A166" s="11">
        <v>164</v>
      </c>
      <c r="B166" s="12" t="s">
        <v>345</v>
      </c>
      <c r="C166" s="13" t="s">
        <v>346</v>
      </c>
      <c r="D166" s="14" t="s">
        <v>152</v>
      </c>
      <c r="E166" s="15" t="s">
        <v>197</v>
      </c>
    </row>
    <row r="167" spans="1:5" x14ac:dyDescent="0.45">
      <c r="A167" s="11">
        <v>165</v>
      </c>
      <c r="B167" s="12" t="s">
        <v>347</v>
      </c>
      <c r="C167" s="13" t="s">
        <v>348</v>
      </c>
      <c r="D167" s="14" t="s">
        <v>152</v>
      </c>
      <c r="E167" s="15" t="s">
        <v>197</v>
      </c>
    </row>
    <row r="168" spans="1:5" x14ac:dyDescent="0.45">
      <c r="A168" s="11">
        <v>166</v>
      </c>
      <c r="B168" s="12" t="s">
        <v>349</v>
      </c>
      <c r="C168" s="13" t="s">
        <v>350</v>
      </c>
      <c r="D168" s="14" t="s">
        <v>152</v>
      </c>
      <c r="E168" s="15" t="s">
        <v>197</v>
      </c>
    </row>
    <row r="169" spans="1:5" x14ac:dyDescent="0.45">
      <c r="A169" s="11">
        <v>167</v>
      </c>
      <c r="B169" s="12" t="s">
        <v>351</v>
      </c>
      <c r="C169" s="13" t="s">
        <v>352</v>
      </c>
      <c r="D169" s="14" t="s">
        <v>152</v>
      </c>
      <c r="E169" s="15" t="s">
        <v>197</v>
      </c>
    </row>
    <row r="170" spans="1:5" x14ac:dyDescent="0.45">
      <c r="A170" s="11">
        <v>168</v>
      </c>
      <c r="B170" s="12" t="s">
        <v>353</v>
      </c>
      <c r="C170" s="13" t="s">
        <v>354</v>
      </c>
      <c r="D170" s="14" t="s">
        <v>152</v>
      </c>
      <c r="E170" s="15" t="s">
        <v>197</v>
      </c>
    </row>
    <row r="171" spans="1:5" x14ac:dyDescent="0.45">
      <c r="A171" s="11">
        <v>169</v>
      </c>
      <c r="B171" s="12" t="s">
        <v>355</v>
      </c>
      <c r="C171" s="13" t="s">
        <v>356</v>
      </c>
      <c r="D171" s="14" t="s">
        <v>152</v>
      </c>
      <c r="E171" s="15" t="s">
        <v>197</v>
      </c>
    </row>
    <row r="172" spans="1:5" x14ac:dyDescent="0.45">
      <c r="A172" s="11">
        <v>170</v>
      </c>
      <c r="B172" s="12" t="s">
        <v>357</v>
      </c>
      <c r="C172" s="13" t="s">
        <v>358</v>
      </c>
      <c r="D172" s="14" t="s">
        <v>152</v>
      </c>
      <c r="E172" s="15" t="s">
        <v>2317</v>
      </c>
    </row>
    <row r="173" spans="1:5" x14ac:dyDescent="0.45">
      <c r="A173" s="11">
        <v>171</v>
      </c>
      <c r="B173" s="12" t="s">
        <v>359</v>
      </c>
      <c r="C173" s="13" t="s">
        <v>360</v>
      </c>
      <c r="D173" s="14" t="s">
        <v>152</v>
      </c>
      <c r="E173" s="15" t="s">
        <v>2317</v>
      </c>
    </row>
    <row r="174" spans="1:5" x14ac:dyDescent="0.45">
      <c r="A174" s="11">
        <v>172</v>
      </c>
      <c r="B174" s="12" t="s">
        <v>361</v>
      </c>
      <c r="C174" s="13" t="s">
        <v>362</v>
      </c>
      <c r="D174" s="14" t="s">
        <v>152</v>
      </c>
      <c r="E174" s="15" t="s">
        <v>2317</v>
      </c>
    </row>
    <row r="175" spans="1:5" x14ac:dyDescent="0.45">
      <c r="A175" s="11">
        <v>173</v>
      </c>
      <c r="B175" s="12" t="s">
        <v>363</v>
      </c>
      <c r="C175" s="13" t="s">
        <v>364</v>
      </c>
      <c r="D175" s="14" t="s">
        <v>152</v>
      </c>
      <c r="E175" s="15" t="s">
        <v>2317</v>
      </c>
    </row>
    <row r="176" spans="1:5" x14ac:dyDescent="0.45">
      <c r="A176" s="11">
        <v>174</v>
      </c>
      <c r="B176" s="12" t="s">
        <v>365</v>
      </c>
      <c r="C176" s="13" t="s">
        <v>366</v>
      </c>
      <c r="D176" s="14" t="s">
        <v>152</v>
      </c>
      <c r="E176" s="15" t="s">
        <v>2318</v>
      </c>
    </row>
    <row r="177" spans="1:5" x14ac:dyDescent="0.45">
      <c r="A177" s="11">
        <v>175</v>
      </c>
      <c r="B177" s="12" t="s">
        <v>367</v>
      </c>
      <c r="C177" s="13" t="s">
        <v>368</v>
      </c>
      <c r="D177" s="14" t="s">
        <v>152</v>
      </c>
      <c r="E177" s="15" t="s">
        <v>2318</v>
      </c>
    </row>
    <row r="178" spans="1:5" x14ac:dyDescent="0.45">
      <c r="A178" s="11">
        <v>176</v>
      </c>
      <c r="B178" s="12" t="s">
        <v>369</v>
      </c>
      <c r="C178" s="13" t="s">
        <v>370</v>
      </c>
      <c r="D178" s="14" t="s">
        <v>152</v>
      </c>
      <c r="E178" s="15" t="s">
        <v>2318</v>
      </c>
    </row>
    <row r="179" spans="1:5" x14ac:dyDescent="0.45">
      <c r="A179" s="11">
        <v>177</v>
      </c>
      <c r="B179" s="12" t="s">
        <v>371</v>
      </c>
      <c r="C179" s="13" t="s">
        <v>372</v>
      </c>
      <c r="D179" s="14" t="s">
        <v>152</v>
      </c>
      <c r="E179" s="15" t="s">
        <v>2318</v>
      </c>
    </row>
    <row r="180" spans="1:5" x14ac:dyDescent="0.45">
      <c r="A180" s="11">
        <v>178</v>
      </c>
      <c r="B180" s="12" t="s">
        <v>373</v>
      </c>
      <c r="C180" s="13" t="s">
        <v>374</v>
      </c>
      <c r="D180" s="14" t="s">
        <v>152</v>
      </c>
      <c r="E180" s="15" t="s">
        <v>2318</v>
      </c>
    </row>
    <row r="181" spans="1:5" x14ac:dyDescent="0.45">
      <c r="A181" s="11">
        <v>179</v>
      </c>
      <c r="B181" s="12" t="s">
        <v>375</v>
      </c>
      <c r="C181" s="13" t="s">
        <v>376</v>
      </c>
      <c r="D181" s="14" t="s">
        <v>152</v>
      </c>
      <c r="E181" s="15" t="s">
        <v>2318</v>
      </c>
    </row>
    <row r="182" spans="1:5" x14ac:dyDescent="0.45">
      <c r="A182" s="16">
        <v>180</v>
      </c>
      <c r="B182" s="17" t="s">
        <v>377</v>
      </c>
      <c r="C182" s="18" t="s">
        <v>378</v>
      </c>
      <c r="D182" s="19" t="s">
        <v>152</v>
      </c>
      <c r="E182" s="20" t="s">
        <v>379</v>
      </c>
    </row>
    <row r="183" spans="1:5" x14ac:dyDescent="0.45">
      <c r="A183" s="16">
        <v>181</v>
      </c>
      <c r="B183" s="17" t="s">
        <v>380</v>
      </c>
      <c r="C183" s="18" t="s">
        <v>381</v>
      </c>
      <c r="D183" s="19" t="s">
        <v>152</v>
      </c>
      <c r="E183" s="20" t="s">
        <v>379</v>
      </c>
    </row>
    <row r="184" spans="1:5" x14ac:dyDescent="0.45">
      <c r="A184" s="16">
        <v>182</v>
      </c>
      <c r="B184" s="17" t="s">
        <v>382</v>
      </c>
      <c r="C184" s="18" t="s">
        <v>383</v>
      </c>
      <c r="D184" s="19" t="s">
        <v>152</v>
      </c>
      <c r="E184" s="20" t="s">
        <v>379</v>
      </c>
    </row>
    <row r="185" spans="1:5" x14ac:dyDescent="0.45">
      <c r="A185" s="16">
        <v>183</v>
      </c>
      <c r="B185" s="17" t="s">
        <v>384</v>
      </c>
      <c r="C185" s="18" t="s">
        <v>385</v>
      </c>
      <c r="D185" s="19" t="s">
        <v>152</v>
      </c>
      <c r="E185" s="20" t="s">
        <v>379</v>
      </c>
    </row>
    <row r="186" spans="1:5" x14ac:dyDescent="0.45">
      <c r="A186" s="16">
        <v>184</v>
      </c>
      <c r="B186" s="17" t="s">
        <v>386</v>
      </c>
      <c r="C186" s="18" t="s">
        <v>387</v>
      </c>
      <c r="D186" s="19" t="s">
        <v>152</v>
      </c>
      <c r="E186" s="20" t="s">
        <v>379</v>
      </c>
    </row>
    <row r="187" spans="1:5" x14ac:dyDescent="0.45">
      <c r="A187" s="16">
        <v>185</v>
      </c>
      <c r="B187" s="17" t="s">
        <v>388</v>
      </c>
      <c r="C187" s="18" t="s">
        <v>389</v>
      </c>
      <c r="D187" s="19" t="s">
        <v>152</v>
      </c>
      <c r="E187" s="20" t="s">
        <v>379</v>
      </c>
    </row>
    <row r="188" spans="1:5" x14ac:dyDescent="0.45">
      <c r="A188" s="16">
        <v>186</v>
      </c>
      <c r="B188" s="17" t="s">
        <v>390</v>
      </c>
      <c r="C188" s="18" t="s">
        <v>391</v>
      </c>
      <c r="D188" s="19" t="s">
        <v>152</v>
      </c>
      <c r="E188" s="20" t="s">
        <v>379</v>
      </c>
    </row>
    <row r="189" spans="1:5" x14ac:dyDescent="0.45">
      <c r="A189" s="16">
        <v>187</v>
      </c>
      <c r="B189" s="17" t="s">
        <v>392</v>
      </c>
      <c r="C189" s="18" t="s">
        <v>393</v>
      </c>
      <c r="D189" s="19" t="s">
        <v>152</v>
      </c>
      <c r="E189" s="20" t="s">
        <v>379</v>
      </c>
    </row>
    <row r="190" spans="1:5" x14ac:dyDescent="0.45">
      <c r="A190" s="16">
        <v>188</v>
      </c>
      <c r="B190" s="17" t="s">
        <v>394</v>
      </c>
      <c r="C190" s="18" t="s">
        <v>395</v>
      </c>
      <c r="D190" s="19" t="s">
        <v>152</v>
      </c>
      <c r="E190" s="20" t="s">
        <v>379</v>
      </c>
    </row>
    <row r="191" spans="1:5" x14ac:dyDescent="0.45">
      <c r="A191" s="16">
        <v>189</v>
      </c>
      <c r="B191" s="17" t="s">
        <v>396</v>
      </c>
      <c r="C191" s="18" t="s">
        <v>397</v>
      </c>
      <c r="D191" s="19" t="s">
        <v>152</v>
      </c>
      <c r="E191" s="20" t="s">
        <v>379</v>
      </c>
    </row>
    <row r="192" spans="1:5" x14ac:dyDescent="0.45">
      <c r="A192" s="16">
        <v>190</v>
      </c>
      <c r="B192" s="17" t="s">
        <v>398</v>
      </c>
      <c r="C192" s="18" t="s">
        <v>399</v>
      </c>
      <c r="D192" s="19" t="s">
        <v>152</v>
      </c>
      <c r="E192" s="20" t="s">
        <v>379</v>
      </c>
    </row>
    <row r="193" spans="1:6" x14ac:dyDescent="0.45">
      <c r="A193" s="16">
        <v>191</v>
      </c>
      <c r="B193" s="17" t="s">
        <v>400</v>
      </c>
      <c r="C193" s="18" t="s">
        <v>401</v>
      </c>
      <c r="D193" s="19" t="s">
        <v>152</v>
      </c>
      <c r="E193" s="20" t="s">
        <v>379</v>
      </c>
    </row>
    <row r="194" spans="1:6" x14ac:dyDescent="0.45">
      <c r="A194" s="6">
        <v>192</v>
      </c>
      <c r="B194" s="7" t="s">
        <v>402</v>
      </c>
      <c r="C194" s="8" t="s">
        <v>403</v>
      </c>
      <c r="D194" s="9" t="s">
        <v>404</v>
      </c>
      <c r="E194" s="10" t="s">
        <v>10</v>
      </c>
      <c r="F194" t="s">
        <v>25</v>
      </c>
    </row>
    <row r="195" spans="1:6" x14ac:dyDescent="0.45">
      <c r="A195" s="6">
        <v>193</v>
      </c>
      <c r="B195" s="7" t="s">
        <v>405</v>
      </c>
      <c r="C195" s="8" t="s">
        <v>156</v>
      </c>
      <c r="D195" s="9" t="s">
        <v>404</v>
      </c>
      <c r="E195" s="10" t="s">
        <v>10</v>
      </c>
      <c r="F195" t="s">
        <v>25</v>
      </c>
    </row>
    <row r="196" spans="1:6" x14ac:dyDescent="0.45">
      <c r="A196" s="6">
        <v>194</v>
      </c>
      <c r="B196" s="7" t="s">
        <v>406</v>
      </c>
      <c r="C196" s="8" t="s">
        <v>407</v>
      </c>
      <c r="D196" s="9" t="s">
        <v>404</v>
      </c>
      <c r="E196" s="10" t="s">
        <v>10</v>
      </c>
      <c r="F196" t="s">
        <v>25</v>
      </c>
    </row>
    <row r="197" spans="1:6" x14ac:dyDescent="0.45">
      <c r="A197" s="6">
        <v>195</v>
      </c>
      <c r="B197" s="7" t="s">
        <v>408</v>
      </c>
      <c r="C197" s="8" t="s">
        <v>409</v>
      </c>
      <c r="D197" s="9" t="s">
        <v>404</v>
      </c>
      <c r="E197" s="10" t="s">
        <v>10</v>
      </c>
      <c r="F197" t="s">
        <v>25</v>
      </c>
    </row>
    <row r="198" spans="1:6" x14ac:dyDescent="0.45">
      <c r="A198" s="6">
        <v>196</v>
      </c>
      <c r="B198" s="7" t="s">
        <v>46</v>
      </c>
      <c r="C198" s="8" t="s">
        <v>47</v>
      </c>
      <c r="D198" s="9" t="s">
        <v>404</v>
      </c>
      <c r="E198" s="10" t="s">
        <v>10</v>
      </c>
      <c r="F198" t="s">
        <v>25</v>
      </c>
    </row>
    <row r="199" spans="1:6" x14ac:dyDescent="0.45">
      <c r="A199" s="6">
        <v>197</v>
      </c>
      <c r="B199" s="7" t="s">
        <v>410</v>
      </c>
      <c r="C199" s="8" t="s">
        <v>411</v>
      </c>
      <c r="D199" s="9" t="s">
        <v>404</v>
      </c>
      <c r="E199" s="10" t="s">
        <v>10</v>
      </c>
      <c r="F199" t="s">
        <v>11</v>
      </c>
    </row>
    <row r="200" spans="1:6" x14ac:dyDescent="0.45">
      <c r="A200" s="6">
        <v>198</v>
      </c>
      <c r="B200" s="7" t="s">
        <v>412</v>
      </c>
      <c r="C200" s="8" t="s">
        <v>413</v>
      </c>
      <c r="D200" s="9" t="s">
        <v>404</v>
      </c>
      <c r="E200" s="10" t="s">
        <v>10</v>
      </c>
      <c r="F200" t="s">
        <v>11</v>
      </c>
    </row>
    <row r="201" spans="1:6" x14ac:dyDescent="0.45">
      <c r="A201" s="6">
        <v>199</v>
      </c>
      <c r="B201" s="7" t="s">
        <v>36</v>
      </c>
      <c r="C201" s="8" t="s">
        <v>37</v>
      </c>
      <c r="D201" s="9" t="s">
        <v>404</v>
      </c>
      <c r="E201" s="10" t="s">
        <v>10</v>
      </c>
      <c r="F201" t="s">
        <v>25</v>
      </c>
    </row>
    <row r="202" spans="1:6" x14ac:dyDescent="0.45">
      <c r="A202" s="6">
        <v>200</v>
      </c>
      <c r="B202" s="7" t="s">
        <v>414</v>
      </c>
      <c r="C202" s="8" t="s">
        <v>415</v>
      </c>
      <c r="D202" s="9" t="s">
        <v>404</v>
      </c>
      <c r="E202" s="10" t="s">
        <v>10</v>
      </c>
      <c r="F202" t="s">
        <v>25</v>
      </c>
    </row>
    <row r="203" spans="1:6" x14ac:dyDescent="0.45">
      <c r="A203" s="6">
        <v>201</v>
      </c>
      <c r="B203" s="7" t="s">
        <v>416</v>
      </c>
      <c r="C203" s="8" t="s">
        <v>417</v>
      </c>
      <c r="D203" s="9" t="s">
        <v>404</v>
      </c>
      <c r="E203" s="10" t="s">
        <v>10</v>
      </c>
      <c r="F203" t="s">
        <v>25</v>
      </c>
    </row>
    <row r="204" spans="1:6" x14ac:dyDescent="0.45">
      <c r="A204" s="6">
        <v>202</v>
      </c>
      <c r="B204" s="7" t="s">
        <v>418</v>
      </c>
      <c r="C204" s="8" t="s">
        <v>419</v>
      </c>
      <c r="D204" s="9" t="s">
        <v>404</v>
      </c>
      <c r="E204" s="10" t="s">
        <v>10</v>
      </c>
      <c r="F204" t="s">
        <v>25</v>
      </c>
    </row>
    <row r="205" spans="1:6" x14ac:dyDescent="0.45">
      <c r="A205" s="6">
        <v>203</v>
      </c>
      <c r="B205" s="7" t="s">
        <v>46</v>
      </c>
      <c r="C205" s="8" t="s">
        <v>47</v>
      </c>
      <c r="D205" s="9" t="s">
        <v>404</v>
      </c>
      <c r="E205" s="10" t="s">
        <v>10</v>
      </c>
      <c r="F205" t="s">
        <v>25</v>
      </c>
    </row>
    <row r="206" spans="1:6" x14ac:dyDescent="0.45">
      <c r="A206" s="39">
        <v>204</v>
      </c>
      <c r="B206" s="40" t="s">
        <v>420</v>
      </c>
      <c r="C206" s="41" t="s">
        <v>421</v>
      </c>
      <c r="D206" s="42" t="s">
        <v>404</v>
      </c>
      <c r="E206" s="43" t="s">
        <v>2317</v>
      </c>
    </row>
    <row r="207" spans="1:6" x14ac:dyDescent="0.45">
      <c r="A207" s="39">
        <v>205</v>
      </c>
      <c r="B207" s="40" t="s">
        <v>422</v>
      </c>
      <c r="C207" s="41" t="s">
        <v>423</v>
      </c>
      <c r="D207" s="42" t="s">
        <v>404</v>
      </c>
      <c r="E207" s="43" t="s">
        <v>2317</v>
      </c>
    </row>
    <row r="208" spans="1:6" x14ac:dyDescent="0.45">
      <c r="A208" s="11">
        <v>206</v>
      </c>
      <c r="B208" s="12" t="s">
        <v>424</v>
      </c>
      <c r="C208" s="13" t="s">
        <v>425</v>
      </c>
      <c r="D208" s="14" t="s">
        <v>404</v>
      </c>
      <c r="E208" s="15" t="s">
        <v>10</v>
      </c>
    </row>
    <row r="209" spans="1:5" x14ac:dyDescent="0.45">
      <c r="A209" s="11">
        <v>207</v>
      </c>
      <c r="B209" s="12" t="s">
        <v>426</v>
      </c>
      <c r="C209" s="13" t="s">
        <v>427</v>
      </c>
      <c r="D209" s="14" t="s">
        <v>404</v>
      </c>
      <c r="E209" s="15" t="s">
        <v>197</v>
      </c>
    </row>
    <row r="210" spans="1:5" x14ac:dyDescent="0.45">
      <c r="A210" s="16">
        <v>208</v>
      </c>
      <c r="B210" s="17" t="s">
        <v>428</v>
      </c>
      <c r="C210" s="18" t="s">
        <v>429</v>
      </c>
      <c r="D210" s="19" t="s">
        <v>404</v>
      </c>
      <c r="E210" s="20" t="s">
        <v>379</v>
      </c>
    </row>
    <row r="211" spans="1:5" x14ac:dyDescent="0.45">
      <c r="A211" s="11">
        <v>209</v>
      </c>
      <c r="B211" s="53" t="s">
        <v>430</v>
      </c>
      <c r="C211" s="13" t="s">
        <v>431</v>
      </c>
      <c r="D211" s="14" t="s">
        <v>404</v>
      </c>
      <c r="E211" s="15" t="s">
        <v>197</v>
      </c>
    </row>
    <row r="212" spans="1:5" x14ac:dyDescent="0.45">
      <c r="A212" s="11">
        <v>210</v>
      </c>
      <c r="B212" s="12" t="s">
        <v>432</v>
      </c>
      <c r="C212" s="13" t="s">
        <v>433</v>
      </c>
      <c r="D212" s="14" t="s">
        <v>404</v>
      </c>
      <c r="E212" s="15" t="s">
        <v>197</v>
      </c>
    </row>
    <row r="213" spans="1:5" x14ac:dyDescent="0.45">
      <c r="A213" s="11">
        <v>211</v>
      </c>
      <c r="B213" s="12" t="s">
        <v>434</v>
      </c>
      <c r="C213" s="13" t="s">
        <v>435</v>
      </c>
      <c r="D213" s="14" t="s">
        <v>404</v>
      </c>
      <c r="E213" s="15" t="s">
        <v>197</v>
      </c>
    </row>
    <row r="214" spans="1:5" x14ac:dyDescent="0.45">
      <c r="A214" s="11">
        <v>212</v>
      </c>
      <c r="B214" s="12" t="s">
        <v>436</v>
      </c>
      <c r="C214" s="13" t="s">
        <v>437</v>
      </c>
      <c r="D214" s="14" t="s">
        <v>404</v>
      </c>
      <c r="E214" s="15" t="s">
        <v>197</v>
      </c>
    </row>
    <row r="215" spans="1:5" x14ac:dyDescent="0.45">
      <c r="A215" s="16">
        <v>213</v>
      </c>
      <c r="B215" s="17" t="s">
        <v>438</v>
      </c>
      <c r="C215" s="18" t="s">
        <v>439</v>
      </c>
      <c r="D215" s="19" t="s">
        <v>404</v>
      </c>
      <c r="E215" s="20" t="s">
        <v>379</v>
      </c>
    </row>
    <row r="216" spans="1:5" x14ac:dyDescent="0.45">
      <c r="A216" s="44">
        <v>214</v>
      </c>
      <c r="B216" s="45" t="s">
        <v>440</v>
      </c>
      <c r="C216" s="46" t="s">
        <v>441</v>
      </c>
      <c r="D216" s="47" t="s">
        <v>404</v>
      </c>
      <c r="E216" s="48" t="s">
        <v>197</v>
      </c>
    </row>
    <row r="217" spans="1:5" x14ac:dyDescent="0.45">
      <c r="A217" s="16">
        <v>215</v>
      </c>
      <c r="B217" s="17" t="s">
        <v>442</v>
      </c>
      <c r="C217" s="18" t="s">
        <v>443</v>
      </c>
      <c r="D217" s="19" t="s">
        <v>404</v>
      </c>
      <c r="E217" s="20" t="s">
        <v>379</v>
      </c>
    </row>
    <row r="218" spans="1:5" x14ac:dyDescent="0.45">
      <c r="A218" s="44">
        <v>216</v>
      </c>
      <c r="B218" s="45" t="s">
        <v>444</v>
      </c>
      <c r="C218" s="46" t="s">
        <v>445</v>
      </c>
      <c r="D218" s="47" t="s">
        <v>404</v>
      </c>
      <c r="E218" s="48" t="s">
        <v>197</v>
      </c>
    </row>
    <row r="219" spans="1:5" x14ac:dyDescent="0.45">
      <c r="A219" s="39">
        <v>217</v>
      </c>
      <c r="B219" s="40" t="s">
        <v>446</v>
      </c>
      <c r="C219" s="41" t="s">
        <v>447</v>
      </c>
      <c r="D219" s="42" t="s">
        <v>404</v>
      </c>
      <c r="E219" s="43" t="s">
        <v>2317</v>
      </c>
    </row>
    <row r="220" spans="1:5" x14ac:dyDescent="0.45">
      <c r="A220" s="39">
        <v>218</v>
      </c>
      <c r="B220" s="40" t="s">
        <v>448</v>
      </c>
      <c r="C220" s="41" t="s">
        <v>449</v>
      </c>
      <c r="D220" s="42" t="s">
        <v>404</v>
      </c>
      <c r="E220" s="43" t="s">
        <v>2317</v>
      </c>
    </row>
    <row r="221" spans="1:5" x14ac:dyDescent="0.45">
      <c r="A221" s="44">
        <v>219</v>
      </c>
      <c r="B221" s="45" t="s">
        <v>450</v>
      </c>
      <c r="C221" s="46" t="s">
        <v>451</v>
      </c>
      <c r="D221" s="47" t="s">
        <v>404</v>
      </c>
      <c r="E221" s="48" t="s">
        <v>197</v>
      </c>
    </row>
    <row r="222" spans="1:5" x14ac:dyDescent="0.45">
      <c r="A222" s="16">
        <v>220</v>
      </c>
      <c r="B222" s="17" t="s">
        <v>452</v>
      </c>
      <c r="C222" s="18" t="s">
        <v>453</v>
      </c>
      <c r="D222" s="19" t="s">
        <v>404</v>
      </c>
      <c r="E222" s="20" t="s">
        <v>379</v>
      </c>
    </row>
    <row r="223" spans="1:5" x14ac:dyDescent="0.45">
      <c r="A223" s="44">
        <v>221</v>
      </c>
      <c r="B223" s="45" t="s">
        <v>454</v>
      </c>
      <c r="C223" s="46" t="s">
        <v>455</v>
      </c>
      <c r="D223" s="47" t="s">
        <v>404</v>
      </c>
      <c r="E223" s="48" t="s">
        <v>197</v>
      </c>
    </row>
    <row r="224" spans="1:5" x14ac:dyDescent="0.45">
      <c r="A224" s="44">
        <v>222</v>
      </c>
      <c r="B224" s="45" t="s">
        <v>456</v>
      </c>
      <c r="C224" s="46" t="s">
        <v>457</v>
      </c>
      <c r="D224" s="47" t="s">
        <v>404</v>
      </c>
      <c r="E224" s="48" t="s">
        <v>197</v>
      </c>
    </row>
    <row r="225" spans="1:5" x14ac:dyDescent="0.45">
      <c r="A225" s="44">
        <v>223</v>
      </c>
      <c r="B225" s="45" t="s">
        <v>458</v>
      </c>
      <c r="C225" s="46" t="s">
        <v>459</v>
      </c>
      <c r="D225" s="47" t="s">
        <v>404</v>
      </c>
      <c r="E225" s="48" t="s">
        <v>197</v>
      </c>
    </row>
    <row r="226" spans="1:5" x14ac:dyDescent="0.45">
      <c r="A226" s="44">
        <v>224</v>
      </c>
      <c r="B226" s="45" t="s">
        <v>460</v>
      </c>
      <c r="C226" s="46" t="s">
        <v>461</v>
      </c>
      <c r="D226" s="47" t="s">
        <v>404</v>
      </c>
      <c r="E226" s="48" t="s">
        <v>197</v>
      </c>
    </row>
    <row r="227" spans="1:5" x14ac:dyDescent="0.45">
      <c r="A227" s="44">
        <v>225</v>
      </c>
      <c r="B227" s="45" t="s">
        <v>462</v>
      </c>
      <c r="C227" s="46" t="s">
        <v>463</v>
      </c>
      <c r="D227" s="47" t="s">
        <v>404</v>
      </c>
      <c r="E227" s="48" t="s">
        <v>197</v>
      </c>
    </row>
    <row r="228" spans="1:5" x14ac:dyDescent="0.45">
      <c r="A228" s="39">
        <v>226</v>
      </c>
      <c r="B228" s="40" t="s">
        <v>464</v>
      </c>
      <c r="C228" s="41" t="s">
        <v>465</v>
      </c>
      <c r="D228" s="42" t="s">
        <v>404</v>
      </c>
      <c r="E228" s="43" t="s">
        <v>2317</v>
      </c>
    </row>
    <row r="229" spans="1:5" x14ac:dyDescent="0.45">
      <c r="A229" s="44">
        <v>227</v>
      </c>
      <c r="B229" s="45" t="s">
        <v>466</v>
      </c>
      <c r="C229" s="46" t="s">
        <v>467</v>
      </c>
      <c r="D229" s="47" t="s">
        <v>404</v>
      </c>
      <c r="E229" s="48" t="s">
        <v>197</v>
      </c>
    </row>
    <row r="230" spans="1:5" x14ac:dyDescent="0.45">
      <c r="A230" s="44">
        <v>228</v>
      </c>
      <c r="B230" s="45" t="s">
        <v>468</v>
      </c>
      <c r="C230" s="46" t="s">
        <v>469</v>
      </c>
      <c r="D230" s="47" t="s">
        <v>404</v>
      </c>
      <c r="E230" s="48" t="s">
        <v>197</v>
      </c>
    </row>
    <row r="231" spans="1:5" x14ac:dyDescent="0.45">
      <c r="A231" s="44">
        <v>229</v>
      </c>
      <c r="B231" s="45" t="s">
        <v>470</v>
      </c>
      <c r="C231" s="46" t="s">
        <v>471</v>
      </c>
      <c r="D231" s="47" t="s">
        <v>404</v>
      </c>
      <c r="E231" s="48" t="s">
        <v>197</v>
      </c>
    </row>
    <row r="232" spans="1:5" x14ac:dyDescent="0.45">
      <c r="A232" s="44">
        <v>230</v>
      </c>
      <c r="B232" s="45" t="s">
        <v>472</v>
      </c>
      <c r="C232" s="46" t="s">
        <v>473</v>
      </c>
      <c r="D232" s="47" t="s">
        <v>404</v>
      </c>
      <c r="E232" s="48" t="s">
        <v>197</v>
      </c>
    </row>
    <row r="233" spans="1:5" x14ac:dyDescent="0.45">
      <c r="A233" s="39">
        <v>231</v>
      </c>
      <c r="B233" s="40" t="s">
        <v>474</v>
      </c>
      <c r="C233" s="41" t="s">
        <v>475</v>
      </c>
      <c r="D233" s="42" t="s">
        <v>404</v>
      </c>
      <c r="E233" s="43" t="s">
        <v>2317</v>
      </c>
    </row>
    <row r="234" spans="1:5" x14ac:dyDescent="0.45">
      <c r="A234" s="44">
        <v>232</v>
      </c>
      <c r="B234" s="45" t="s">
        <v>476</v>
      </c>
      <c r="C234" s="46" t="s">
        <v>477</v>
      </c>
      <c r="D234" s="47" t="s">
        <v>404</v>
      </c>
      <c r="E234" s="48" t="s">
        <v>197</v>
      </c>
    </row>
    <row r="235" spans="1:5" x14ac:dyDescent="0.45">
      <c r="A235" s="44">
        <v>233</v>
      </c>
      <c r="B235" s="45" t="s">
        <v>478</v>
      </c>
      <c r="C235" s="46" t="s">
        <v>479</v>
      </c>
      <c r="D235" s="47" t="s">
        <v>404</v>
      </c>
      <c r="E235" s="48" t="s">
        <v>197</v>
      </c>
    </row>
    <row r="236" spans="1:5" x14ac:dyDescent="0.45">
      <c r="A236" s="44">
        <v>234</v>
      </c>
      <c r="B236" s="45" t="s">
        <v>480</v>
      </c>
      <c r="C236" s="46" t="s">
        <v>481</v>
      </c>
      <c r="D236" s="47" t="s">
        <v>404</v>
      </c>
      <c r="E236" s="48" t="s">
        <v>197</v>
      </c>
    </row>
    <row r="237" spans="1:5" x14ac:dyDescent="0.45">
      <c r="A237" s="16">
        <v>235</v>
      </c>
      <c r="B237" s="17" t="s">
        <v>482</v>
      </c>
      <c r="C237" s="18" t="s">
        <v>483</v>
      </c>
      <c r="D237" s="19" t="s">
        <v>404</v>
      </c>
      <c r="E237" s="20" t="s">
        <v>379</v>
      </c>
    </row>
    <row r="238" spans="1:5" x14ac:dyDescent="0.45">
      <c r="A238" s="44">
        <v>236</v>
      </c>
      <c r="B238" s="45" t="s">
        <v>484</v>
      </c>
      <c r="C238" s="46" t="s">
        <v>485</v>
      </c>
      <c r="D238" s="47" t="s">
        <v>404</v>
      </c>
      <c r="E238" s="48" t="s">
        <v>197</v>
      </c>
    </row>
    <row r="239" spans="1:5" x14ac:dyDescent="0.45">
      <c r="A239" s="44">
        <v>237</v>
      </c>
      <c r="B239" s="45" t="s">
        <v>486</v>
      </c>
      <c r="C239" s="46" t="s">
        <v>487</v>
      </c>
      <c r="D239" s="47" t="s">
        <v>404</v>
      </c>
      <c r="E239" s="48" t="s">
        <v>197</v>
      </c>
    </row>
    <row r="240" spans="1:5" x14ac:dyDescent="0.45">
      <c r="A240" s="44">
        <v>238</v>
      </c>
      <c r="B240" s="45" t="s">
        <v>488</v>
      </c>
      <c r="C240" s="46" t="s">
        <v>489</v>
      </c>
      <c r="D240" s="47" t="s">
        <v>404</v>
      </c>
      <c r="E240" s="48" t="s">
        <v>197</v>
      </c>
    </row>
    <row r="241" spans="1:5" x14ac:dyDescent="0.45">
      <c r="A241" s="44">
        <v>239</v>
      </c>
      <c r="B241" s="45" t="s">
        <v>490</v>
      </c>
      <c r="C241" s="46" t="s">
        <v>491</v>
      </c>
      <c r="D241" s="47" t="s">
        <v>404</v>
      </c>
      <c r="E241" s="48" t="s">
        <v>197</v>
      </c>
    </row>
    <row r="242" spans="1:5" x14ac:dyDescent="0.45">
      <c r="A242" s="44">
        <v>240</v>
      </c>
      <c r="B242" s="45" t="s">
        <v>492</v>
      </c>
      <c r="C242" s="46" t="s">
        <v>493</v>
      </c>
      <c r="D242" s="47" t="s">
        <v>404</v>
      </c>
      <c r="E242" s="48" t="s">
        <v>197</v>
      </c>
    </row>
    <row r="243" spans="1:5" x14ac:dyDescent="0.45">
      <c r="A243" s="44">
        <v>241</v>
      </c>
      <c r="B243" s="45" t="s">
        <v>494</v>
      </c>
      <c r="C243" s="46" t="s">
        <v>495</v>
      </c>
      <c r="D243" s="47" t="s">
        <v>404</v>
      </c>
      <c r="E243" s="48" t="s">
        <v>197</v>
      </c>
    </row>
    <row r="244" spans="1:5" x14ac:dyDescent="0.45">
      <c r="A244" s="16">
        <v>242</v>
      </c>
      <c r="B244" s="17" t="s">
        <v>496</v>
      </c>
      <c r="C244" s="18" t="s">
        <v>497</v>
      </c>
      <c r="D244" s="19" t="s">
        <v>404</v>
      </c>
      <c r="E244" s="20" t="s">
        <v>379</v>
      </c>
    </row>
    <row r="245" spans="1:5" x14ac:dyDescent="0.45">
      <c r="A245" s="44">
        <v>243</v>
      </c>
      <c r="B245" s="45" t="s">
        <v>498</v>
      </c>
      <c r="C245" s="46" t="s">
        <v>499</v>
      </c>
      <c r="D245" s="47" t="s">
        <v>404</v>
      </c>
      <c r="E245" s="48" t="s">
        <v>197</v>
      </c>
    </row>
    <row r="246" spans="1:5" x14ac:dyDescent="0.45">
      <c r="A246" s="44">
        <v>244</v>
      </c>
      <c r="B246" s="45" t="s">
        <v>500</v>
      </c>
      <c r="C246" s="46" t="s">
        <v>501</v>
      </c>
      <c r="D246" s="47" t="s">
        <v>404</v>
      </c>
      <c r="E246" s="48" t="s">
        <v>197</v>
      </c>
    </row>
    <row r="247" spans="1:5" x14ac:dyDescent="0.45">
      <c r="A247" s="44">
        <v>245</v>
      </c>
      <c r="B247" s="45" t="s">
        <v>502</v>
      </c>
      <c r="C247" s="46" t="s">
        <v>503</v>
      </c>
      <c r="D247" s="47" t="s">
        <v>404</v>
      </c>
      <c r="E247" s="48" t="s">
        <v>197</v>
      </c>
    </row>
    <row r="248" spans="1:5" x14ac:dyDescent="0.45">
      <c r="A248" s="44">
        <v>246</v>
      </c>
      <c r="B248" s="45" t="s">
        <v>504</v>
      </c>
      <c r="C248" s="46" t="s">
        <v>505</v>
      </c>
      <c r="D248" s="47" t="s">
        <v>404</v>
      </c>
      <c r="E248" s="48" t="s">
        <v>197</v>
      </c>
    </row>
    <row r="249" spans="1:5" x14ac:dyDescent="0.45">
      <c r="A249" s="16">
        <v>247</v>
      </c>
      <c r="B249" s="17" t="s">
        <v>506</v>
      </c>
      <c r="C249" s="18" t="s">
        <v>507</v>
      </c>
      <c r="D249" s="19" t="s">
        <v>404</v>
      </c>
      <c r="E249" s="20" t="s">
        <v>379</v>
      </c>
    </row>
    <row r="250" spans="1:5" x14ac:dyDescent="0.45">
      <c r="A250" s="44">
        <v>248</v>
      </c>
      <c r="B250" s="45" t="s">
        <v>508</v>
      </c>
      <c r="C250" s="46" t="s">
        <v>509</v>
      </c>
      <c r="D250" s="47" t="s">
        <v>404</v>
      </c>
      <c r="E250" s="48" t="s">
        <v>197</v>
      </c>
    </row>
    <row r="251" spans="1:5" x14ac:dyDescent="0.45">
      <c r="A251" s="44">
        <v>249</v>
      </c>
      <c r="B251" s="45" t="s">
        <v>510</v>
      </c>
      <c r="C251" s="46" t="s">
        <v>511</v>
      </c>
      <c r="D251" s="47" t="s">
        <v>404</v>
      </c>
      <c r="E251" s="48" t="s">
        <v>197</v>
      </c>
    </row>
    <row r="252" spans="1:5" x14ac:dyDescent="0.45">
      <c r="A252" s="44">
        <v>250</v>
      </c>
      <c r="B252" s="45" t="s">
        <v>512</v>
      </c>
      <c r="C252" s="46" t="s">
        <v>513</v>
      </c>
      <c r="D252" s="47" t="s">
        <v>404</v>
      </c>
      <c r="E252" s="48" t="s">
        <v>197</v>
      </c>
    </row>
    <row r="253" spans="1:5" x14ac:dyDescent="0.45">
      <c r="A253" s="44">
        <v>251</v>
      </c>
      <c r="B253" s="45" t="s">
        <v>514</v>
      </c>
      <c r="C253" s="46" t="s">
        <v>515</v>
      </c>
      <c r="D253" s="47" t="s">
        <v>404</v>
      </c>
      <c r="E253" s="48" t="s">
        <v>197</v>
      </c>
    </row>
    <row r="254" spans="1:5" x14ac:dyDescent="0.45">
      <c r="A254" s="44">
        <v>252</v>
      </c>
      <c r="B254" s="45" t="s">
        <v>516</v>
      </c>
      <c r="C254" s="46" t="s">
        <v>517</v>
      </c>
      <c r="D254" s="47" t="s">
        <v>404</v>
      </c>
      <c r="E254" s="48" t="s">
        <v>197</v>
      </c>
    </row>
    <row r="255" spans="1:5" x14ac:dyDescent="0.45">
      <c r="A255" s="44">
        <v>253</v>
      </c>
      <c r="B255" s="45" t="s">
        <v>518</v>
      </c>
      <c r="C255" s="46" t="s">
        <v>519</v>
      </c>
      <c r="D255" s="47" t="s">
        <v>404</v>
      </c>
      <c r="E255" s="48" t="s">
        <v>197</v>
      </c>
    </row>
    <row r="256" spans="1:5" x14ac:dyDescent="0.45">
      <c r="A256" s="39">
        <v>254</v>
      </c>
      <c r="B256" s="40" t="s">
        <v>520</v>
      </c>
      <c r="C256" s="41" t="s">
        <v>521</v>
      </c>
      <c r="D256" s="42" t="s">
        <v>404</v>
      </c>
      <c r="E256" s="43" t="s">
        <v>2317</v>
      </c>
    </row>
    <row r="257" spans="1:5" x14ac:dyDescent="0.45">
      <c r="A257" s="39">
        <v>255</v>
      </c>
      <c r="B257" s="40" t="s">
        <v>522</v>
      </c>
      <c r="C257" s="41" t="s">
        <v>523</v>
      </c>
      <c r="D257" s="42" t="s">
        <v>404</v>
      </c>
      <c r="E257" s="43" t="s">
        <v>2317</v>
      </c>
    </row>
    <row r="258" spans="1:5" x14ac:dyDescent="0.45">
      <c r="A258" s="44">
        <v>256</v>
      </c>
      <c r="B258" s="45" t="s">
        <v>524</v>
      </c>
      <c r="C258" s="46" t="s">
        <v>525</v>
      </c>
      <c r="D258" s="47" t="s">
        <v>404</v>
      </c>
      <c r="E258" s="48" t="s">
        <v>2318</v>
      </c>
    </row>
    <row r="259" spans="1:5" x14ac:dyDescent="0.45">
      <c r="A259" s="44">
        <v>257</v>
      </c>
      <c r="B259" s="45" t="s">
        <v>526</v>
      </c>
      <c r="C259" s="46" t="s">
        <v>527</v>
      </c>
      <c r="D259" s="47" t="s">
        <v>404</v>
      </c>
      <c r="E259" s="48" t="s">
        <v>2318</v>
      </c>
    </row>
    <row r="260" spans="1:5" x14ac:dyDescent="0.45">
      <c r="A260" s="44">
        <v>258</v>
      </c>
      <c r="B260" s="45" t="s">
        <v>528</v>
      </c>
      <c r="C260" s="46" t="s">
        <v>529</v>
      </c>
      <c r="D260" s="47" t="s">
        <v>404</v>
      </c>
      <c r="E260" s="48" t="s">
        <v>2318</v>
      </c>
    </row>
    <row r="261" spans="1:5" x14ac:dyDescent="0.45">
      <c r="A261" s="44">
        <v>259</v>
      </c>
      <c r="B261" s="45" t="s">
        <v>530</v>
      </c>
      <c r="C261" s="46" t="s">
        <v>531</v>
      </c>
      <c r="D261" s="47" t="s">
        <v>404</v>
      </c>
      <c r="E261" s="48" t="s">
        <v>2318</v>
      </c>
    </row>
    <row r="262" spans="1:5" x14ac:dyDescent="0.45">
      <c r="A262" s="44">
        <v>260</v>
      </c>
      <c r="B262" s="45" t="s">
        <v>532</v>
      </c>
      <c r="C262" s="46" t="s">
        <v>533</v>
      </c>
      <c r="D262" s="47" t="s">
        <v>404</v>
      </c>
      <c r="E262" s="48" t="s">
        <v>2318</v>
      </c>
    </row>
    <row r="263" spans="1:5" x14ac:dyDescent="0.45">
      <c r="A263" s="44">
        <v>261</v>
      </c>
      <c r="B263" s="45" t="s">
        <v>534</v>
      </c>
      <c r="C263" s="46" t="s">
        <v>535</v>
      </c>
      <c r="D263" s="47" t="s">
        <v>404</v>
      </c>
      <c r="E263" s="48" t="s">
        <v>2318</v>
      </c>
    </row>
    <row r="264" spans="1:5" x14ac:dyDescent="0.45">
      <c r="A264" s="44">
        <v>262</v>
      </c>
      <c r="B264" s="45" t="s">
        <v>536</v>
      </c>
      <c r="C264" s="46" t="s">
        <v>537</v>
      </c>
      <c r="D264" s="47" t="s">
        <v>404</v>
      </c>
      <c r="E264" s="48" t="s">
        <v>2318</v>
      </c>
    </row>
    <row r="265" spans="1:5" x14ac:dyDescent="0.45">
      <c r="A265" s="44">
        <v>263</v>
      </c>
      <c r="B265" s="45" t="s">
        <v>538</v>
      </c>
      <c r="C265" s="46" t="s">
        <v>539</v>
      </c>
      <c r="D265" s="47" t="s">
        <v>404</v>
      </c>
      <c r="E265" s="48" t="s">
        <v>2318</v>
      </c>
    </row>
    <row r="266" spans="1:5" x14ac:dyDescent="0.45">
      <c r="A266" s="44">
        <v>264</v>
      </c>
      <c r="B266" s="45" t="s">
        <v>540</v>
      </c>
      <c r="C266" s="46" t="s">
        <v>541</v>
      </c>
      <c r="D266" s="47" t="s">
        <v>404</v>
      </c>
      <c r="E266" s="48" t="s">
        <v>2318</v>
      </c>
    </row>
    <row r="267" spans="1:5" x14ac:dyDescent="0.45">
      <c r="A267" s="44">
        <v>265</v>
      </c>
      <c r="B267" s="45" t="s">
        <v>542</v>
      </c>
      <c r="C267" s="46" t="s">
        <v>543</v>
      </c>
      <c r="D267" s="47" t="s">
        <v>404</v>
      </c>
      <c r="E267" s="48" t="s">
        <v>2318</v>
      </c>
    </row>
    <row r="268" spans="1:5" x14ac:dyDescent="0.45">
      <c r="A268" s="39">
        <v>266</v>
      </c>
      <c r="B268" s="40" t="s">
        <v>544</v>
      </c>
      <c r="C268" s="41" t="s">
        <v>545</v>
      </c>
      <c r="D268" s="42" t="s">
        <v>404</v>
      </c>
      <c r="E268" s="43" t="s">
        <v>2317</v>
      </c>
    </row>
    <row r="269" spans="1:5" x14ac:dyDescent="0.45">
      <c r="A269" s="39">
        <v>267</v>
      </c>
      <c r="B269" s="40" t="s">
        <v>546</v>
      </c>
      <c r="C269" s="41" t="s">
        <v>547</v>
      </c>
      <c r="D269" s="42" t="s">
        <v>404</v>
      </c>
      <c r="E269" s="43" t="s">
        <v>2317</v>
      </c>
    </row>
    <row r="270" spans="1:5" x14ac:dyDescent="0.45">
      <c r="A270" s="44">
        <v>268</v>
      </c>
      <c r="B270" s="45" t="s">
        <v>548</v>
      </c>
      <c r="C270" s="46" t="s">
        <v>549</v>
      </c>
      <c r="D270" s="47" t="s">
        <v>404</v>
      </c>
      <c r="E270" s="48" t="s">
        <v>197</v>
      </c>
    </row>
    <row r="271" spans="1:5" x14ac:dyDescent="0.45">
      <c r="A271" s="16">
        <v>269</v>
      </c>
      <c r="B271" s="17" t="s">
        <v>550</v>
      </c>
      <c r="C271" s="18" t="s">
        <v>551</v>
      </c>
      <c r="D271" s="19" t="s">
        <v>404</v>
      </c>
      <c r="E271" s="20" t="s">
        <v>379</v>
      </c>
    </row>
    <row r="272" spans="1:5" x14ac:dyDescent="0.45">
      <c r="A272" s="44">
        <v>270</v>
      </c>
      <c r="B272" s="45" t="s">
        <v>552</v>
      </c>
      <c r="C272" s="46" t="s">
        <v>553</v>
      </c>
      <c r="D272" s="47" t="s">
        <v>404</v>
      </c>
      <c r="E272" s="48" t="s">
        <v>197</v>
      </c>
    </row>
    <row r="273" spans="1:5" x14ac:dyDescent="0.45">
      <c r="A273" s="44">
        <v>271</v>
      </c>
      <c r="B273" s="45" t="s">
        <v>554</v>
      </c>
      <c r="C273" s="46" t="s">
        <v>555</v>
      </c>
      <c r="D273" s="47" t="s">
        <v>404</v>
      </c>
      <c r="E273" s="48" t="s">
        <v>197</v>
      </c>
    </row>
    <row r="274" spans="1:5" x14ac:dyDescent="0.45">
      <c r="A274" s="44">
        <v>272</v>
      </c>
      <c r="B274" s="45" t="s">
        <v>556</v>
      </c>
      <c r="C274" s="46" t="s">
        <v>557</v>
      </c>
      <c r="D274" s="47" t="s">
        <v>404</v>
      </c>
      <c r="E274" s="48" t="s">
        <v>197</v>
      </c>
    </row>
    <row r="275" spans="1:5" x14ac:dyDescent="0.45">
      <c r="A275" s="44">
        <v>273</v>
      </c>
      <c r="B275" s="45" t="s">
        <v>558</v>
      </c>
      <c r="C275" s="46" t="s">
        <v>559</v>
      </c>
      <c r="D275" s="47" t="s">
        <v>404</v>
      </c>
      <c r="E275" s="48" t="s">
        <v>197</v>
      </c>
    </row>
    <row r="276" spans="1:5" x14ac:dyDescent="0.45">
      <c r="A276" s="16">
        <v>274</v>
      </c>
      <c r="B276" s="17" t="s">
        <v>560</v>
      </c>
      <c r="C276" s="18" t="s">
        <v>561</v>
      </c>
      <c r="D276" s="19" t="s">
        <v>404</v>
      </c>
      <c r="E276" s="20" t="s">
        <v>379</v>
      </c>
    </row>
    <row r="277" spans="1:5" x14ac:dyDescent="0.45">
      <c r="A277" s="11">
        <v>275</v>
      </c>
      <c r="B277" s="12" t="s">
        <v>562</v>
      </c>
      <c r="C277" s="13" t="s">
        <v>563</v>
      </c>
      <c r="D277" s="14" t="s">
        <v>404</v>
      </c>
      <c r="E277" s="15" t="s">
        <v>197</v>
      </c>
    </row>
    <row r="278" spans="1:5" x14ac:dyDescent="0.45">
      <c r="A278" s="11">
        <v>276</v>
      </c>
      <c r="B278" s="12" t="s">
        <v>564</v>
      </c>
      <c r="C278" s="13" t="s">
        <v>565</v>
      </c>
      <c r="D278" s="14" t="s">
        <v>404</v>
      </c>
      <c r="E278" s="15" t="s">
        <v>197</v>
      </c>
    </row>
    <row r="279" spans="1:5" x14ac:dyDescent="0.45">
      <c r="A279" s="11">
        <v>277</v>
      </c>
      <c r="B279" s="12" t="s">
        <v>566</v>
      </c>
      <c r="C279" s="13" t="s">
        <v>567</v>
      </c>
      <c r="D279" s="14" t="s">
        <v>404</v>
      </c>
      <c r="E279" s="15" t="s">
        <v>197</v>
      </c>
    </row>
    <row r="280" spans="1:5" x14ac:dyDescent="0.45">
      <c r="A280" s="11">
        <v>278</v>
      </c>
      <c r="B280" s="12" t="s">
        <v>568</v>
      </c>
      <c r="C280" s="13" t="s">
        <v>569</v>
      </c>
      <c r="D280" s="14" t="s">
        <v>404</v>
      </c>
      <c r="E280" s="15" t="s">
        <v>197</v>
      </c>
    </row>
    <row r="281" spans="1:5" x14ac:dyDescent="0.45">
      <c r="A281" s="11">
        <v>279</v>
      </c>
      <c r="B281" s="12" t="s">
        <v>570</v>
      </c>
      <c r="C281" s="13" t="s">
        <v>571</v>
      </c>
      <c r="D281" s="14" t="s">
        <v>404</v>
      </c>
      <c r="E281" s="15" t="s">
        <v>197</v>
      </c>
    </row>
    <row r="282" spans="1:5" x14ac:dyDescent="0.45">
      <c r="A282" s="11">
        <v>280</v>
      </c>
      <c r="B282" s="12" t="s">
        <v>572</v>
      </c>
      <c r="C282" s="13" t="s">
        <v>573</v>
      </c>
      <c r="D282" s="14" t="s">
        <v>404</v>
      </c>
      <c r="E282" s="15" t="s">
        <v>197</v>
      </c>
    </row>
    <row r="283" spans="1:5" x14ac:dyDescent="0.45">
      <c r="A283" s="11">
        <v>281</v>
      </c>
      <c r="B283" s="12" t="s">
        <v>204</v>
      </c>
      <c r="C283" s="13" t="s">
        <v>205</v>
      </c>
      <c r="D283" s="14" t="s">
        <v>404</v>
      </c>
      <c r="E283" s="15" t="s">
        <v>197</v>
      </c>
    </row>
    <row r="284" spans="1:5" x14ac:dyDescent="0.45">
      <c r="A284" s="39">
        <v>282</v>
      </c>
      <c r="B284" s="40" t="s">
        <v>574</v>
      </c>
      <c r="C284" s="41" t="s">
        <v>575</v>
      </c>
      <c r="D284" s="42" t="s">
        <v>404</v>
      </c>
      <c r="E284" s="43" t="s">
        <v>2317</v>
      </c>
    </row>
    <row r="285" spans="1:5" x14ac:dyDescent="0.45">
      <c r="A285" s="11">
        <v>283</v>
      </c>
      <c r="B285" s="12" t="s">
        <v>576</v>
      </c>
      <c r="C285" s="13" t="s">
        <v>577</v>
      </c>
      <c r="D285" s="14" t="s">
        <v>404</v>
      </c>
      <c r="E285" s="15" t="s">
        <v>197</v>
      </c>
    </row>
    <row r="286" spans="1:5" x14ac:dyDescent="0.45">
      <c r="A286" s="11">
        <v>284</v>
      </c>
      <c r="B286" s="12" t="s">
        <v>578</v>
      </c>
      <c r="C286" s="13" t="s">
        <v>579</v>
      </c>
      <c r="D286" s="14" t="s">
        <v>404</v>
      </c>
      <c r="E286" s="15" t="s">
        <v>197</v>
      </c>
    </row>
    <row r="287" spans="1:5" x14ac:dyDescent="0.45">
      <c r="A287" s="11">
        <v>285</v>
      </c>
      <c r="B287" s="12" t="s">
        <v>580</v>
      </c>
      <c r="C287" s="13" t="s">
        <v>581</v>
      </c>
      <c r="D287" s="14" t="s">
        <v>404</v>
      </c>
      <c r="E287" s="15" t="s">
        <v>197</v>
      </c>
    </row>
    <row r="288" spans="1:5" x14ac:dyDescent="0.45">
      <c r="A288" s="39">
        <v>286</v>
      </c>
      <c r="B288" s="40" t="s">
        <v>582</v>
      </c>
      <c r="C288" s="41" t="s">
        <v>583</v>
      </c>
      <c r="D288" s="42" t="s">
        <v>404</v>
      </c>
      <c r="E288" s="43" t="s">
        <v>2317</v>
      </c>
    </row>
    <row r="289" spans="1:5" x14ac:dyDescent="0.45">
      <c r="A289" s="11">
        <v>287</v>
      </c>
      <c r="B289" s="12" t="s">
        <v>584</v>
      </c>
      <c r="C289" s="13" t="s">
        <v>585</v>
      </c>
      <c r="D289" s="14" t="s">
        <v>404</v>
      </c>
      <c r="E289" s="15" t="s">
        <v>197</v>
      </c>
    </row>
    <row r="290" spans="1:5" x14ac:dyDescent="0.45">
      <c r="A290" s="39">
        <v>288</v>
      </c>
      <c r="B290" s="40" t="s">
        <v>586</v>
      </c>
      <c r="C290" s="41" t="s">
        <v>587</v>
      </c>
      <c r="D290" s="42" t="s">
        <v>404</v>
      </c>
      <c r="E290" s="43" t="s">
        <v>2317</v>
      </c>
    </row>
    <row r="291" spans="1:5" x14ac:dyDescent="0.45">
      <c r="A291" s="11">
        <v>289</v>
      </c>
      <c r="B291" s="12" t="s">
        <v>588</v>
      </c>
      <c r="C291" s="13" t="s">
        <v>589</v>
      </c>
      <c r="D291" s="14" t="s">
        <v>404</v>
      </c>
      <c r="E291" s="15" t="s">
        <v>197</v>
      </c>
    </row>
    <row r="292" spans="1:5" x14ac:dyDescent="0.45">
      <c r="A292" s="11">
        <v>290</v>
      </c>
      <c r="B292" s="12" t="s">
        <v>590</v>
      </c>
      <c r="C292" s="13" t="s">
        <v>591</v>
      </c>
      <c r="D292" s="14" t="s">
        <v>404</v>
      </c>
      <c r="E292" s="15" t="s">
        <v>197</v>
      </c>
    </row>
    <row r="293" spans="1:5" x14ac:dyDescent="0.45">
      <c r="A293" s="11">
        <v>291</v>
      </c>
      <c r="B293" s="12" t="s">
        <v>592</v>
      </c>
      <c r="C293" s="13" t="s">
        <v>593</v>
      </c>
      <c r="D293" s="14" t="s">
        <v>404</v>
      </c>
      <c r="E293" s="15" t="s">
        <v>197</v>
      </c>
    </row>
    <row r="294" spans="1:5" x14ac:dyDescent="0.45">
      <c r="A294" s="39">
        <v>292</v>
      </c>
      <c r="B294" s="40" t="s">
        <v>594</v>
      </c>
      <c r="C294" s="41" t="s">
        <v>595</v>
      </c>
      <c r="D294" s="42" t="s">
        <v>404</v>
      </c>
      <c r="E294" s="43" t="s">
        <v>2317</v>
      </c>
    </row>
    <row r="295" spans="1:5" x14ac:dyDescent="0.45">
      <c r="A295" s="39">
        <v>293</v>
      </c>
      <c r="B295" s="40" t="s">
        <v>596</v>
      </c>
      <c r="C295" s="41" t="s">
        <v>597</v>
      </c>
      <c r="D295" s="42" t="s">
        <v>404</v>
      </c>
      <c r="E295" s="43" t="s">
        <v>2317</v>
      </c>
    </row>
    <row r="296" spans="1:5" x14ac:dyDescent="0.45">
      <c r="A296" s="39">
        <v>294</v>
      </c>
      <c r="B296" s="40" t="s">
        <v>598</v>
      </c>
      <c r="C296" s="41" t="s">
        <v>599</v>
      </c>
      <c r="D296" s="42" t="s">
        <v>404</v>
      </c>
      <c r="E296" s="43" t="s">
        <v>2317</v>
      </c>
    </row>
    <row r="297" spans="1:5" x14ac:dyDescent="0.45">
      <c r="A297" s="11">
        <v>295</v>
      </c>
      <c r="B297" s="12" t="s">
        <v>600</v>
      </c>
      <c r="C297" s="13" t="s">
        <v>601</v>
      </c>
      <c r="D297" s="14" t="s">
        <v>404</v>
      </c>
      <c r="E297" s="15" t="s">
        <v>197</v>
      </c>
    </row>
    <row r="298" spans="1:5" x14ac:dyDescent="0.45">
      <c r="A298" s="39">
        <v>296</v>
      </c>
      <c r="B298" s="40" t="s">
        <v>602</v>
      </c>
      <c r="C298" s="41" t="s">
        <v>603</v>
      </c>
      <c r="D298" s="42" t="s">
        <v>404</v>
      </c>
      <c r="E298" s="43" t="s">
        <v>2317</v>
      </c>
    </row>
    <row r="299" spans="1:5" x14ac:dyDescent="0.45">
      <c r="A299" s="11">
        <v>297</v>
      </c>
      <c r="B299" s="12" t="s">
        <v>604</v>
      </c>
      <c r="C299" s="13" t="s">
        <v>605</v>
      </c>
      <c r="D299" s="14" t="s">
        <v>404</v>
      </c>
      <c r="E299" s="15" t="s">
        <v>197</v>
      </c>
    </row>
    <row r="300" spans="1:5" x14ac:dyDescent="0.45">
      <c r="A300" s="11">
        <v>298</v>
      </c>
      <c r="B300" s="12" t="s">
        <v>606</v>
      </c>
      <c r="C300" s="13" t="s">
        <v>607</v>
      </c>
      <c r="D300" s="14" t="s">
        <v>404</v>
      </c>
      <c r="E300" s="15" t="s">
        <v>197</v>
      </c>
    </row>
    <row r="301" spans="1:5" x14ac:dyDescent="0.45">
      <c r="A301" s="11">
        <v>299</v>
      </c>
      <c r="B301" s="12" t="s">
        <v>127</v>
      </c>
      <c r="C301" s="13" t="s">
        <v>128</v>
      </c>
      <c r="D301" s="14" t="s">
        <v>404</v>
      </c>
      <c r="E301" s="15" t="s">
        <v>197</v>
      </c>
    </row>
    <row r="302" spans="1:5" x14ac:dyDescent="0.45">
      <c r="A302" s="16">
        <v>300</v>
      </c>
      <c r="B302" s="17" t="s">
        <v>608</v>
      </c>
      <c r="C302" s="18" t="s">
        <v>609</v>
      </c>
      <c r="D302" s="19" t="s">
        <v>404</v>
      </c>
      <c r="E302" s="20" t="s">
        <v>379</v>
      </c>
    </row>
    <row r="303" spans="1:5" x14ac:dyDescent="0.45">
      <c r="A303" s="16">
        <v>301</v>
      </c>
      <c r="B303" s="17" t="s">
        <v>610</v>
      </c>
      <c r="C303" s="18" t="s">
        <v>611</v>
      </c>
      <c r="D303" s="19" t="s">
        <v>404</v>
      </c>
      <c r="E303" s="20" t="s">
        <v>379</v>
      </c>
    </row>
    <row r="304" spans="1:5" x14ac:dyDescent="0.45">
      <c r="A304" s="16">
        <v>302</v>
      </c>
      <c r="B304" s="17" t="s">
        <v>612</v>
      </c>
      <c r="C304" s="18" t="s">
        <v>613</v>
      </c>
      <c r="D304" s="19" t="s">
        <v>404</v>
      </c>
      <c r="E304" s="20" t="s">
        <v>379</v>
      </c>
    </row>
    <row r="305" spans="1:5" x14ac:dyDescent="0.45">
      <c r="A305" s="16">
        <v>303</v>
      </c>
      <c r="B305" s="17" t="s">
        <v>614</v>
      </c>
      <c r="C305" s="18" t="s">
        <v>615</v>
      </c>
      <c r="D305" s="19" t="s">
        <v>404</v>
      </c>
      <c r="E305" s="20" t="s">
        <v>379</v>
      </c>
    </row>
    <row r="306" spans="1:5" x14ac:dyDescent="0.45">
      <c r="A306" s="16">
        <v>304</v>
      </c>
      <c r="B306" s="17" t="s">
        <v>377</v>
      </c>
      <c r="C306" s="18" t="s">
        <v>378</v>
      </c>
      <c r="D306" s="19" t="s">
        <v>404</v>
      </c>
      <c r="E306" s="20" t="s">
        <v>379</v>
      </c>
    </row>
    <row r="307" spans="1:5" x14ac:dyDescent="0.45">
      <c r="A307" s="16">
        <v>305</v>
      </c>
      <c r="B307" s="17" t="s">
        <v>616</v>
      </c>
      <c r="C307" s="18" t="s">
        <v>617</v>
      </c>
      <c r="D307" s="19" t="s">
        <v>404</v>
      </c>
      <c r="E307" s="20" t="s">
        <v>379</v>
      </c>
    </row>
    <row r="308" spans="1:5" x14ac:dyDescent="0.45">
      <c r="A308" s="16">
        <v>306</v>
      </c>
      <c r="B308" s="17" t="s">
        <v>618</v>
      </c>
      <c r="C308" s="18" t="s">
        <v>619</v>
      </c>
      <c r="D308" s="19" t="s">
        <v>404</v>
      </c>
      <c r="E308" s="20" t="s">
        <v>379</v>
      </c>
    </row>
    <row r="309" spans="1:5" x14ac:dyDescent="0.45">
      <c r="A309" s="16">
        <v>307</v>
      </c>
      <c r="B309" s="17" t="s">
        <v>620</v>
      </c>
      <c r="C309" s="18" t="s">
        <v>621</v>
      </c>
      <c r="D309" s="19" t="s">
        <v>404</v>
      </c>
      <c r="E309" s="20" t="s">
        <v>379</v>
      </c>
    </row>
    <row r="310" spans="1:5" x14ac:dyDescent="0.45">
      <c r="A310" s="16">
        <v>308</v>
      </c>
      <c r="B310" s="17" t="s">
        <v>622</v>
      </c>
      <c r="C310" s="18" t="s">
        <v>623</v>
      </c>
      <c r="D310" s="19" t="s">
        <v>404</v>
      </c>
      <c r="E310" s="20" t="s">
        <v>379</v>
      </c>
    </row>
    <row r="311" spans="1:5" x14ac:dyDescent="0.45">
      <c r="A311" s="16">
        <v>309</v>
      </c>
      <c r="B311" s="17" t="s">
        <v>624</v>
      </c>
      <c r="C311" s="18" t="s">
        <v>625</v>
      </c>
      <c r="D311" s="19" t="s">
        <v>404</v>
      </c>
      <c r="E311" s="20" t="s">
        <v>379</v>
      </c>
    </row>
    <row r="312" spans="1:5" x14ac:dyDescent="0.45">
      <c r="A312" s="16">
        <v>310</v>
      </c>
      <c r="B312" s="17" t="s">
        <v>626</v>
      </c>
      <c r="C312" s="18" t="s">
        <v>627</v>
      </c>
      <c r="D312" s="19" t="s">
        <v>404</v>
      </c>
      <c r="E312" s="20" t="s">
        <v>379</v>
      </c>
    </row>
    <row r="313" spans="1:5" x14ac:dyDescent="0.45">
      <c r="A313" s="16">
        <v>311</v>
      </c>
      <c r="B313" s="17" t="s">
        <v>628</v>
      </c>
      <c r="C313" s="18" t="s">
        <v>629</v>
      </c>
      <c r="D313" s="19" t="s">
        <v>404</v>
      </c>
      <c r="E313" s="20" t="s">
        <v>379</v>
      </c>
    </row>
    <row r="314" spans="1:5" x14ac:dyDescent="0.45">
      <c r="A314" s="16">
        <v>312</v>
      </c>
      <c r="B314" s="17" t="s">
        <v>630</v>
      </c>
      <c r="C314" s="18" t="s">
        <v>631</v>
      </c>
      <c r="D314" s="19" t="s">
        <v>404</v>
      </c>
      <c r="E314" s="20" t="s">
        <v>379</v>
      </c>
    </row>
    <row r="315" spans="1:5" x14ac:dyDescent="0.45">
      <c r="A315" s="16">
        <v>313</v>
      </c>
      <c r="B315" s="17" t="s">
        <v>632</v>
      </c>
      <c r="C315" s="18" t="s">
        <v>633</v>
      </c>
      <c r="D315" s="19" t="s">
        <v>404</v>
      </c>
      <c r="E315" s="20" t="s">
        <v>379</v>
      </c>
    </row>
    <row r="316" spans="1:5" x14ac:dyDescent="0.45">
      <c r="A316" s="16">
        <v>314</v>
      </c>
      <c r="B316" s="17" t="s">
        <v>634</v>
      </c>
      <c r="C316" s="18" t="s">
        <v>635</v>
      </c>
      <c r="D316" s="19" t="s">
        <v>404</v>
      </c>
      <c r="E316" s="20" t="s">
        <v>379</v>
      </c>
    </row>
    <row r="317" spans="1:5" x14ac:dyDescent="0.45">
      <c r="A317" s="16">
        <v>315</v>
      </c>
      <c r="B317" s="17" t="s">
        <v>636</v>
      </c>
      <c r="C317" s="18" t="s">
        <v>637</v>
      </c>
      <c r="D317" s="19" t="s">
        <v>404</v>
      </c>
      <c r="E317" s="20" t="s">
        <v>379</v>
      </c>
    </row>
    <row r="318" spans="1:5" x14ac:dyDescent="0.45">
      <c r="A318" s="16">
        <v>316</v>
      </c>
      <c r="B318" s="17" t="s">
        <v>638</v>
      </c>
      <c r="C318" s="18" t="s">
        <v>639</v>
      </c>
      <c r="D318" s="19" t="s">
        <v>404</v>
      </c>
      <c r="E318" s="20" t="s">
        <v>379</v>
      </c>
    </row>
    <row r="319" spans="1:5" x14ac:dyDescent="0.45">
      <c r="A319" s="16">
        <v>317</v>
      </c>
      <c r="B319" s="17" t="s">
        <v>640</v>
      </c>
      <c r="C319" s="18" t="s">
        <v>641</v>
      </c>
      <c r="D319" s="19" t="s">
        <v>404</v>
      </c>
      <c r="E319" s="20" t="s">
        <v>379</v>
      </c>
    </row>
    <row r="320" spans="1:5" x14ac:dyDescent="0.45">
      <c r="A320" s="16">
        <v>318</v>
      </c>
      <c r="B320" s="17" t="s">
        <v>642</v>
      </c>
      <c r="C320" s="18" t="s">
        <v>643</v>
      </c>
      <c r="D320" s="19" t="s">
        <v>404</v>
      </c>
      <c r="E320" s="20" t="s">
        <v>379</v>
      </c>
    </row>
    <row r="321" spans="1:6" x14ac:dyDescent="0.45">
      <c r="A321" s="6">
        <v>319</v>
      </c>
      <c r="B321" s="7" t="s">
        <v>410</v>
      </c>
      <c r="C321" s="8" t="s">
        <v>411</v>
      </c>
      <c r="D321" s="9" t="s">
        <v>644</v>
      </c>
      <c r="E321" s="10" t="s">
        <v>10</v>
      </c>
      <c r="F321" t="s">
        <v>11</v>
      </c>
    </row>
    <row r="322" spans="1:6" x14ac:dyDescent="0.45">
      <c r="A322" s="6">
        <v>320</v>
      </c>
      <c r="B322" s="7" t="s">
        <v>412</v>
      </c>
      <c r="C322" s="8" t="s">
        <v>413</v>
      </c>
      <c r="D322" s="9" t="s">
        <v>644</v>
      </c>
      <c r="E322" s="10" t="s">
        <v>10</v>
      </c>
      <c r="F322" t="s">
        <v>11</v>
      </c>
    </row>
    <row r="323" spans="1:6" x14ac:dyDescent="0.45">
      <c r="A323" s="6">
        <v>321</v>
      </c>
      <c r="B323" s="7" t="s">
        <v>416</v>
      </c>
      <c r="C323" s="8" t="s">
        <v>417</v>
      </c>
      <c r="D323" s="9" t="s">
        <v>644</v>
      </c>
      <c r="E323" s="10" t="s">
        <v>10</v>
      </c>
      <c r="F323" t="s">
        <v>25</v>
      </c>
    </row>
    <row r="324" spans="1:6" x14ac:dyDescent="0.45">
      <c r="A324" s="6">
        <v>322</v>
      </c>
      <c r="B324" s="7" t="s">
        <v>645</v>
      </c>
      <c r="C324" s="8" t="s">
        <v>646</v>
      </c>
      <c r="D324" s="9" t="s">
        <v>644</v>
      </c>
      <c r="E324" s="10" t="s">
        <v>10</v>
      </c>
      <c r="F324" t="s">
        <v>25</v>
      </c>
    </row>
    <row r="325" spans="1:6" x14ac:dyDescent="0.45">
      <c r="A325" s="6">
        <v>323</v>
      </c>
      <c r="B325" s="7" t="s">
        <v>647</v>
      </c>
      <c r="C325" s="8" t="s">
        <v>648</v>
      </c>
      <c r="D325" s="9" t="s">
        <v>644</v>
      </c>
      <c r="E325" s="10" t="s">
        <v>10</v>
      </c>
      <c r="F325" t="s">
        <v>25</v>
      </c>
    </row>
    <row r="326" spans="1:6" x14ac:dyDescent="0.45">
      <c r="A326" s="6">
        <v>324</v>
      </c>
      <c r="B326" s="7" t="s">
        <v>426</v>
      </c>
      <c r="C326" s="8" t="s">
        <v>427</v>
      </c>
      <c r="D326" s="9" t="s">
        <v>644</v>
      </c>
      <c r="E326" s="10" t="s">
        <v>10</v>
      </c>
      <c r="F326" t="s">
        <v>97</v>
      </c>
    </row>
    <row r="327" spans="1:6" x14ac:dyDescent="0.45">
      <c r="A327" s="6">
        <v>325</v>
      </c>
      <c r="B327" s="7" t="s">
        <v>649</v>
      </c>
      <c r="C327" s="8" t="s">
        <v>650</v>
      </c>
      <c r="D327" s="9" t="s">
        <v>644</v>
      </c>
      <c r="E327" s="10" t="s">
        <v>10</v>
      </c>
      <c r="F327" t="s">
        <v>25</v>
      </c>
    </row>
    <row r="328" spans="1:6" x14ac:dyDescent="0.45">
      <c r="A328" s="6">
        <v>326</v>
      </c>
      <c r="B328" s="7" t="s">
        <v>651</v>
      </c>
      <c r="C328" s="8" t="s">
        <v>652</v>
      </c>
      <c r="D328" s="9" t="s">
        <v>644</v>
      </c>
      <c r="E328" s="10" t="s">
        <v>10</v>
      </c>
      <c r="F328" t="s">
        <v>25</v>
      </c>
    </row>
    <row r="329" spans="1:6" x14ac:dyDescent="0.45">
      <c r="A329" s="6">
        <v>327</v>
      </c>
      <c r="B329" s="7" t="s">
        <v>405</v>
      </c>
      <c r="C329" s="8" t="s">
        <v>156</v>
      </c>
      <c r="D329" s="9" t="s">
        <v>644</v>
      </c>
      <c r="E329" s="10" t="s">
        <v>10</v>
      </c>
      <c r="F329" t="s">
        <v>25</v>
      </c>
    </row>
    <row r="330" spans="1:6" x14ac:dyDescent="0.45">
      <c r="A330" s="6">
        <v>328</v>
      </c>
      <c r="B330" s="7" t="s">
        <v>23</v>
      </c>
      <c r="C330" s="8" t="s">
        <v>24</v>
      </c>
      <c r="D330" s="9" t="s">
        <v>644</v>
      </c>
      <c r="E330" s="10" t="s">
        <v>10</v>
      </c>
      <c r="F330" t="s">
        <v>25</v>
      </c>
    </row>
    <row r="331" spans="1:6" x14ac:dyDescent="0.45">
      <c r="A331" s="6">
        <v>329</v>
      </c>
      <c r="B331" s="7" t="s">
        <v>653</v>
      </c>
      <c r="C331" s="8" t="s">
        <v>654</v>
      </c>
      <c r="D331" s="9" t="s">
        <v>644</v>
      </c>
      <c r="E331" s="10" t="s">
        <v>10</v>
      </c>
      <c r="F331" t="s">
        <v>25</v>
      </c>
    </row>
    <row r="332" spans="1:6" x14ac:dyDescent="0.45">
      <c r="A332" s="6">
        <v>330</v>
      </c>
      <c r="B332" s="7" t="s">
        <v>655</v>
      </c>
      <c r="C332" s="8" t="s">
        <v>656</v>
      </c>
      <c r="D332" s="9" t="s">
        <v>644</v>
      </c>
      <c r="E332" s="10" t="s">
        <v>10</v>
      </c>
      <c r="F332" t="s">
        <v>25</v>
      </c>
    </row>
    <row r="333" spans="1:6" x14ac:dyDescent="0.45">
      <c r="A333" s="6">
        <v>331</v>
      </c>
      <c r="B333" s="7" t="s">
        <v>26</v>
      </c>
      <c r="C333" s="8" t="s">
        <v>27</v>
      </c>
      <c r="D333" s="9" t="s">
        <v>644</v>
      </c>
      <c r="E333" s="10" t="s">
        <v>10</v>
      </c>
      <c r="F333" t="s">
        <v>25</v>
      </c>
    </row>
    <row r="334" spans="1:6" x14ac:dyDescent="0.45">
      <c r="A334" s="6">
        <v>332</v>
      </c>
      <c r="B334" s="7" t="s">
        <v>657</v>
      </c>
      <c r="C334" s="8" t="s">
        <v>658</v>
      </c>
      <c r="D334" s="9" t="s">
        <v>644</v>
      </c>
      <c r="E334" s="10" t="s">
        <v>10</v>
      </c>
      <c r="F334" t="s">
        <v>25</v>
      </c>
    </row>
    <row r="335" spans="1:6" x14ac:dyDescent="0.45">
      <c r="A335" s="6">
        <v>333</v>
      </c>
      <c r="B335" s="7" t="s">
        <v>659</v>
      </c>
      <c r="C335" s="8" t="s">
        <v>660</v>
      </c>
      <c r="D335" s="9" t="s">
        <v>644</v>
      </c>
      <c r="E335" s="10" t="s">
        <v>10</v>
      </c>
      <c r="F335" t="s">
        <v>25</v>
      </c>
    </row>
    <row r="336" spans="1:6" x14ac:dyDescent="0.45">
      <c r="A336" s="6">
        <v>334</v>
      </c>
      <c r="B336" s="7" t="s">
        <v>661</v>
      </c>
      <c r="C336" s="8" t="s">
        <v>662</v>
      </c>
      <c r="D336" s="9" t="s">
        <v>644</v>
      </c>
      <c r="E336" s="10" t="s">
        <v>10</v>
      </c>
      <c r="F336" t="s">
        <v>25</v>
      </c>
    </row>
    <row r="337" spans="1:6" x14ac:dyDescent="0.45">
      <c r="A337" s="6">
        <v>335</v>
      </c>
      <c r="B337" s="7" t="s">
        <v>663</v>
      </c>
      <c r="C337" s="8" t="s">
        <v>664</v>
      </c>
      <c r="D337" s="9" t="s">
        <v>644</v>
      </c>
      <c r="E337" s="10" t="s">
        <v>10</v>
      </c>
      <c r="F337" t="s">
        <v>665</v>
      </c>
    </row>
    <row r="338" spans="1:6" x14ac:dyDescent="0.45">
      <c r="A338" s="6">
        <v>336</v>
      </c>
      <c r="B338" s="7" t="s">
        <v>666</v>
      </c>
      <c r="C338" s="8" t="s">
        <v>667</v>
      </c>
      <c r="D338" s="9" t="s">
        <v>644</v>
      </c>
      <c r="E338" s="10" t="s">
        <v>10</v>
      </c>
      <c r="F338" t="s">
        <v>25</v>
      </c>
    </row>
    <row r="339" spans="1:6" x14ac:dyDescent="0.45">
      <c r="A339" s="6">
        <v>337</v>
      </c>
      <c r="B339" s="7" t="s">
        <v>668</v>
      </c>
      <c r="C339" s="8" t="s">
        <v>669</v>
      </c>
      <c r="D339" s="9" t="s">
        <v>644</v>
      </c>
      <c r="E339" s="10" t="s">
        <v>10</v>
      </c>
      <c r="F339" t="s">
        <v>25</v>
      </c>
    </row>
    <row r="340" spans="1:6" x14ac:dyDescent="0.45">
      <c r="A340" s="6">
        <v>338</v>
      </c>
      <c r="B340" s="7" t="s">
        <v>670</v>
      </c>
      <c r="C340" s="8" t="s">
        <v>671</v>
      </c>
      <c r="D340" s="9" t="s">
        <v>644</v>
      </c>
      <c r="E340" s="10" t="s">
        <v>10</v>
      </c>
      <c r="F340" t="s">
        <v>25</v>
      </c>
    </row>
    <row r="341" spans="1:6" x14ac:dyDescent="0.45">
      <c r="A341" s="6">
        <v>339</v>
      </c>
      <c r="B341" s="7" t="s">
        <v>672</v>
      </c>
      <c r="C341" s="8" t="s">
        <v>673</v>
      </c>
      <c r="D341" s="9" t="s">
        <v>644</v>
      </c>
      <c r="E341" s="10" t="s">
        <v>10</v>
      </c>
      <c r="F341" t="s">
        <v>25</v>
      </c>
    </row>
    <row r="342" spans="1:6" x14ac:dyDescent="0.45">
      <c r="A342" s="6">
        <v>340</v>
      </c>
      <c r="B342" s="7" t="s">
        <v>674</v>
      </c>
      <c r="C342" s="8" t="s">
        <v>675</v>
      </c>
      <c r="D342" s="9" t="s">
        <v>644</v>
      </c>
      <c r="E342" s="10" t="s">
        <v>10</v>
      </c>
      <c r="F342" t="s">
        <v>25</v>
      </c>
    </row>
    <row r="343" spans="1:6" x14ac:dyDescent="0.45">
      <c r="A343" s="6">
        <v>341</v>
      </c>
      <c r="B343" s="7" t="s">
        <v>676</v>
      </c>
      <c r="C343" s="8" t="s">
        <v>677</v>
      </c>
      <c r="D343" s="9" t="s">
        <v>644</v>
      </c>
      <c r="E343" s="10" t="s">
        <v>10</v>
      </c>
      <c r="F343" t="s">
        <v>25</v>
      </c>
    </row>
    <row r="344" spans="1:6" x14ac:dyDescent="0.45">
      <c r="A344" s="6">
        <v>342</v>
      </c>
      <c r="B344" s="7" t="s">
        <v>678</v>
      </c>
      <c r="C344" s="8" t="s">
        <v>679</v>
      </c>
      <c r="D344" s="9" t="s">
        <v>644</v>
      </c>
      <c r="E344" s="10" t="s">
        <v>10</v>
      </c>
      <c r="F344" t="s">
        <v>25</v>
      </c>
    </row>
    <row r="345" spans="1:6" x14ac:dyDescent="0.45">
      <c r="A345" s="11">
        <v>343</v>
      </c>
      <c r="B345" s="12" t="s">
        <v>680</v>
      </c>
      <c r="C345" s="13" t="s">
        <v>681</v>
      </c>
      <c r="D345" s="14" t="s">
        <v>644</v>
      </c>
      <c r="E345" s="15" t="s">
        <v>2318</v>
      </c>
    </row>
    <row r="346" spans="1:6" x14ac:dyDescent="0.45">
      <c r="A346" s="11">
        <v>344</v>
      </c>
      <c r="B346" s="12" t="s">
        <v>540</v>
      </c>
      <c r="C346" s="13" t="s">
        <v>541</v>
      </c>
      <c r="D346" s="14" t="s">
        <v>644</v>
      </c>
      <c r="E346" s="15" t="s">
        <v>2318</v>
      </c>
    </row>
    <row r="347" spans="1:6" x14ac:dyDescent="0.45">
      <c r="A347" s="11">
        <v>345</v>
      </c>
      <c r="B347" s="12" t="s">
        <v>682</v>
      </c>
      <c r="C347" s="13" t="s">
        <v>683</v>
      </c>
      <c r="D347" s="14" t="s">
        <v>644</v>
      </c>
      <c r="E347" s="15" t="s">
        <v>2318</v>
      </c>
    </row>
    <row r="348" spans="1:6" x14ac:dyDescent="0.45">
      <c r="A348" s="11">
        <v>346</v>
      </c>
      <c r="B348" s="12" t="s">
        <v>684</v>
      </c>
      <c r="C348" s="13" t="s">
        <v>685</v>
      </c>
      <c r="D348" s="14" t="s">
        <v>644</v>
      </c>
      <c r="E348" s="15" t="s">
        <v>2318</v>
      </c>
    </row>
    <row r="349" spans="1:6" x14ac:dyDescent="0.45">
      <c r="A349" s="11">
        <v>347</v>
      </c>
      <c r="B349" s="12" t="s">
        <v>686</v>
      </c>
      <c r="C349" s="13" t="s">
        <v>687</v>
      </c>
      <c r="D349" s="14" t="s">
        <v>644</v>
      </c>
      <c r="E349" s="15" t="s">
        <v>2318</v>
      </c>
    </row>
    <row r="350" spans="1:6" x14ac:dyDescent="0.45">
      <c r="A350" s="11">
        <v>348</v>
      </c>
      <c r="B350" s="12" t="s">
        <v>688</v>
      </c>
      <c r="C350" s="13" t="s">
        <v>689</v>
      </c>
      <c r="D350" s="14" t="s">
        <v>644</v>
      </c>
      <c r="E350" s="15" t="s">
        <v>2318</v>
      </c>
    </row>
    <row r="351" spans="1:6" x14ac:dyDescent="0.45">
      <c r="A351" s="11">
        <v>349</v>
      </c>
      <c r="B351" s="12" t="s">
        <v>690</v>
      </c>
      <c r="C351" s="13" t="s">
        <v>691</v>
      </c>
      <c r="D351" s="14" t="s">
        <v>644</v>
      </c>
      <c r="E351" s="15" t="s">
        <v>197</v>
      </c>
    </row>
    <row r="352" spans="1:6" x14ac:dyDescent="0.45">
      <c r="A352" s="11">
        <v>350</v>
      </c>
      <c r="B352" s="12" t="s">
        <v>692</v>
      </c>
      <c r="C352" s="13" t="s">
        <v>693</v>
      </c>
      <c r="D352" s="14" t="s">
        <v>644</v>
      </c>
      <c r="E352" s="15" t="s">
        <v>197</v>
      </c>
    </row>
    <row r="353" spans="1:5" x14ac:dyDescent="0.45">
      <c r="A353" s="11">
        <v>351</v>
      </c>
      <c r="B353" s="12" t="s">
        <v>694</v>
      </c>
      <c r="C353" s="13" t="s">
        <v>695</v>
      </c>
      <c r="D353" s="14" t="s">
        <v>644</v>
      </c>
      <c r="E353" s="15" t="s">
        <v>197</v>
      </c>
    </row>
    <row r="354" spans="1:5" x14ac:dyDescent="0.45">
      <c r="A354" s="11">
        <v>352</v>
      </c>
      <c r="B354" s="12" t="s">
        <v>696</v>
      </c>
      <c r="C354" s="13" t="s">
        <v>697</v>
      </c>
      <c r="D354" s="14" t="s">
        <v>644</v>
      </c>
      <c r="E354" s="15" t="s">
        <v>197</v>
      </c>
    </row>
    <row r="355" spans="1:5" x14ac:dyDescent="0.45">
      <c r="A355" s="11">
        <v>353</v>
      </c>
      <c r="B355" s="12" t="s">
        <v>698</v>
      </c>
      <c r="C355" s="13" t="s">
        <v>699</v>
      </c>
      <c r="D355" s="14" t="s">
        <v>644</v>
      </c>
      <c r="E355" s="15" t="s">
        <v>197</v>
      </c>
    </row>
    <row r="356" spans="1:5" x14ac:dyDescent="0.45">
      <c r="A356" s="11">
        <v>354</v>
      </c>
      <c r="B356" s="12" t="s">
        <v>700</v>
      </c>
      <c r="C356" s="13" t="s">
        <v>701</v>
      </c>
      <c r="D356" s="14" t="s">
        <v>644</v>
      </c>
      <c r="E356" s="15" t="s">
        <v>197</v>
      </c>
    </row>
    <row r="357" spans="1:5" x14ac:dyDescent="0.45">
      <c r="A357" s="11">
        <v>355</v>
      </c>
      <c r="B357" s="12" t="s">
        <v>702</v>
      </c>
      <c r="C357" s="13" t="s">
        <v>703</v>
      </c>
      <c r="D357" s="14" t="s">
        <v>644</v>
      </c>
      <c r="E357" s="15" t="s">
        <v>197</v>
      </c>
    </row>
    <row r="358" spans="1:5" x14ac:dyDescent="0.45">
      <c r="A358" s="11">
        <v>356</v>
      </c>
      <c r="B358" s="12" t="s">
        <v>704</v>
      </c>
      <c r="C358" s="13" t="s">
        <v>705</v>
      </c>
      <c r="D358" s="14" t="s">
        <v>644</v>
      </c>
      <c r="E358" s="15" t="s">
        <v>197</v>
      </c>
    </row>
    <row r="359" spans="1:5" x14ac:dyDescent="0.45">
      <c r="A359" s="11">
        <v>357</v>
      </c>
      <c r="B359" s="12" t="s">
        <v>706</v>
      </c>
      <c r="C359" s="13" t="s">
        <v>707</v>
      </c>
      <c r="D359" s="14" t="s">
        <v>644</v>
      </c>
      <c r="E359" s="15" t="s">
        <v>197</v>
      </c>
    </row>
    <row r="360" spans="1:5" x14ac:dyDescent="0.45">
      <c r="A360" s="11">
        <v>358</v>
      </c>
      <c r="B360" s="12" t="s">
        <v>708</v>
      </c>
      <c r="C360" s="13" t="s">
        <v>709</v>
      </c>
      <c r="D360" s="14" t="s">
        <v>644</v>
      </c>
      <c r="E360" s="15" t="s">
        <v>197</v>
      </c>
    </row>
    <row r="361" spans="1:5" x14ac:dyDescent="0.45">
      <c r="A361" s="11">
        <v>359</v>
      </c>
      <c r="B361" s="12" t="s">
        <v>710</v>
      </c>
      <c r="C361" s="13" t="s">
        <v>711</v>
      </c>
      <c r="D361" s="14" t="s">
        <v>644</v>
      </c>
      <c r="E361" s="15" t="s">
        <v>197</v>
      </c>
    </row>
    <row r="362" spans="1:5" x14ac:dyDescent="0.45">
      <c r="A362" s="11">
        <v>360</v>
      </c>
      <c r="B362" s="12" t="s">
        <v>712</v>
      </c>
      <c r="C362" s="13" t="s">
        <v>713</v>
      </c>
      <c r="D362" s="14" t="s">
        <v>644</v>
      </c>
      <c r="E362" s="15" t="s">
        <v>197</v>
      </c>
    </row>
    <row r="363" spans="1:5" x14ac:dyDescent="0.45">
      <c r="A363" s="11">
        <v>361</v>
      </c>
      <c r="B363" s="12" t="s">
        <v>434</v>
      </c>
      <c r="C363" s="13" t="s">
        <v>435</v>
      </c>
      <c r="D363" s="14" t="s">
        <v>644</v>
      </c>
      <c r="E363" s="15" t="s">
        <v>197</v>
      </c>
    </row>
    <row r="364" spans="1:5" x14ac:dyDescent="0.45">
      <c r="A364" s="11">
        <v>362</v>
      </c>
      <c r="B364" s="12" t="s">
        <v>714</v>
      </c>
      <c r="C364" s="13" t="s">
        <v>715</v>
      </c>
      <c r="D364" s="14" t="s">
        <v>644</v>
      </c>
      <c r="E364" s="15" t="s">
        <v>197</v>
      </c>
    </row>
    <row r="365" spans="1:5" ht="23.25" customHeight="1" x14ac:dyDescent="0.45">
      <c r="A365" s="11">
        <v>363</v>
      </c>
      <c r="B365" s="12" t="s">
        <v>716</v>
      </c>
      <c r="C365" s="13" t="s">
        <v>717</v>
      </c>
      <c r="D365" s="14" t="s">
        <v>644</v>
      </c>
      <c r="E365" s="15" t="s">
        <v>197</v>
      </c>
    </row>
    <row r="366" spans="1:5" x14ac:dyDescent="0.45">
      <c r="A366" s="11">
        <v>364</v>
      </c>
      <c r="B366" s="12" t="s">
        <v>718</v>
      </c>
      <c r="C366" s="13" t="s">
        <v>719</v>
      </c>
      <c r="D366" s="14" t="s">
        <v>644</v>
      </c>
      <c r="E366" s="15" t="s">
        <v>197</v>
      </c>
    </row>
    <row r="367" spans="1:5" x14ac:dyDescent="0.45">
      <c r="A367" s="11">
        <v>365</v>
      </c>
      <c r="B367" s="12" t="s">
        <v>720</v>
      </c>
      <c r="C367" s="13" t="s">
        <v>721</v>
      </c>
      <c r="D367" s="14" t="s">
        <v>644</v>
      </c>
      <c r="E367" s="15" t="s">
        <v>197</v>
      </c>
    </row>
    <row r="368" spans="1:5" x14ac:dyDescent="0.45">
      <c r="A368" s="11">
        <v>366</v>
      </c>
      <c r="B368" s="12" t="s">
        <v>722</v>
      </c>
      <c r="C368" s="13" t="s">
        <v>723</v>
      </c>
      <c r="D368" s="14" t="s">
        <v>644</v>
      </c>
      <c r="E368" s="15" t="s">
        <v>197</v>
      </c>
    </row>
    <row r="369" spans="1:5" x14ac:dyDescent="0.45">
      <c r="A369" s="11">
        <v>367</v>
      </c>
      <c r="B369" s="12" t="s">
        <v>724</v>
      </c>
      <c r="C369" s="13" t="s">
        <v>725</v>
      </c>
      <c r="D369" s="14" t="s">
        <v>644</v>
      </c>
      <c r="E369" s="15" t="s">
        <v>197</v>
      </c>
    </row>
    <row r="370" spans="1:5" x14ac:dyDescent="0.45">
      <c r="A370" s="11">
        <v>368</v>
      </c>
      <c r="B370" s="12" t="s">
        <v>726</v>
      </c>
      <c r="C370" s="13" t="s">
        <v>727</v>
      </c>
      <c r="D370" s="14" t="s">
        <v>644</v>
      </c>
      <c r="E370" s="15" t="s">
        <v>197</v>
      </c>
    </row>
    <row r="371" spans="1:5" x14ac:dyDescent="0.45">
      <c r="A371" s="11">
        <v>369</v>
      </c>
      <c r="B371" s="12" t="s">
        <v>728</v>
      </c>
      <c r="C371" s="13" t="s">
        <v>729</v>
      </c>
      <c r="D371" s="14" t="s">
        <v>644</v>
      </c>
      <c r="E371" s="15" t="s">
        <v>2318</v>
      </c>
    </row>
    <row r="372" spans="1:5" x14ac:dyDescent="0.45">
      <c r="A372" s="11">
        <v>370</v>
      </c>
      <c r="B372" s="12" t="s">
        <v>730</v>
      </c>
      <c r="C372" s="13" t="s">
        <v>731</v>
      </c>
      <c r="D372" s="14" t="s">
        <v>644</v>
      </c>
      <c r="E372" s="15" t="s">
        <v>2318</v>
      </c>
    </row>
    <row r="373" spans="1:5" x14ac:dyDescent="0.45">
      <c r="A373" s="11">
        <v>371</v>
      </c>
      <c r="B373" s="12" t="s">
        <v>566</v>
      </c>
      <c r="C373" s="13" t="s">
        <v>567</v>
      </c>
      <c r="D373" s="14" t="s">
        <v>644</v>
      </c>
      <c r="E373" s="15" t="s">
        <v>197</v>
      </c>
    </row>
    <row r="374" spans="1:5" x14ac:dyDescent="0.45">
      <c r="A374" s="11">
        <v>372</v>
      </c>
      <c r="B374" s="12" t="s">
        <v>732</v>
      </c>
      <c r="C374" s="13" t="s">
        <v>733</v>
      </c>
      <c r="D374" s="14" t="s">
        <v>644</v>
      </c>
      <c r="E374" s="15" t="s">
        <v>197</v>
      </c>
    </row>
    <row r="375" spans="1:5" x14ac:dyDescent="0.45">
      <c r="A375" s="11">
        <v>373</v>
      </c>
      <c r="B375" s="12" t="s">
        <v>734</v>
      </c>
      <c r="C375" s="13" t="s">
        <v>735</v>
      </c>
      <c r="D375" s="14" t="s">
        <v>644</v>
      </c>
      <c r="E375" s="15" t="s">
        <v>197</v>
      </c>
    </row>
    <row r="376" spans="1:5" x14ac:dyDescent="0.45">
      <c r="A376" s="11">
        <v>374</v>
      </c>
      <c r="B376" s="12" t="s">
        <v>568</v>
      </c>
      <c r="C376" s="13" t="s">
        <v>569</v>
      </c>
      <c r="D376" s="14" t="s">
        <v>644</v>
      </c>
      <c r="E376" s="15" t="s">
        <v>197</v>
      </c>
    </row>
    <row r="377" spans="1:5" x14ac:dyDescent="0.45">
      <c r="A377" s="11">
        <v>375</v>
      </c>
      <c r="B377" s="12" t="s">
        <v>736</v>
      </c>
      <c r="C377" s="13" t="s">
        <v>737</v>
      </c>
      <c r="D377" s="14" t="s">
        <v>644</v>
      </c>
      <c r="E377" s="15" t="s">
        <v>197</v>
      </c>
    </row>
    <row r="378" spans="1:5" x14ac:dyDescent="0.45">
      <c r="A378" s="11">
        <v>376</v>
      </c>
      <c r="B378" s="12" t="s">
        <v>738</v>
      </c>
      <c r="C378" s="13" t="s">
        <v>739</v>
      </c>
      <c r="D378" s="14" t="s">
        <v>644</v>
      </c>
      <c r="E378" s="15" t="s">
        <v>197</v>
      </c>
    </row>
    <row r="379" spans="1:5" x14ac:dyDescent="0.45">
      <c r="A379" s="16">
        <v>377</v>
      </c>
      <c r="B379" s="17" t="s">
        <v>740</v>
      </c>
      <c r="C379" s="18" t="s">
        <v>741</v>
      </c>
      <c r="D379" s="19" t="s">
        <v>644</v>
      </c>
      <c r="E379" s="20" t="s">
        <v>379</v>
      </c>
    </row>
    <row r="380" spans="1:5" x14ac:dyDescent="0.45">
      <c r="A380" s="16">
        <v>378</v>
      </c>
      <c r="B380" s="17" t="s">
        <v>742</v>
      </c>
      <c r="C380" s="18" t="s">
        <v>743</v>
      </c>
      <c r="D380" s="19" t="s">
        <v>644</v>
      </c>
      <c r="E380" s="20" t="s">
        <v>379</v>
      </c>
    </row>
    <row r="381" spans="1:5" x14ac:dyDescent="0.45">
      <c r="A381" s="16">
        <v>379</v>
      </c>
      <c r="B381" s="17" t="s">
        <v>744</v>
      </c>
      <c r="C381" s="18" t="s">
        <v>745</v>
      </c>
      <c r="D381" s="19" t="s">
        <v>644</v>
      </c>
      <c r="E381" s="20" t="s">
        <v>379</v>
      </c>
    </row>
    <row r="382" spans="1:5" x14ac:dyDescent="0.45">
      <c r="A382" s="16">
        <v>380</v>
      </c>
      <c r="B382" s="17" t="s">
        <v>746</v>
      </c>
      <c r="C382" s="18" t="s">
        <v>747</v>
      </c>
      <c r="D382" s="19" t="s">
        <v>644</v>
      </c>
      <c r="E382" s="20" t="s">
        <v>379</v>
      </c>
    </row>
    <row r="383" spans="1:5" x14ac:dyDescent="0.45">
      <c r="A383" s="16">
        <v>381</v>
      </c>
      <c r="B383" s="17" t="s">
        <v>748</v>
      </c>
      <c r="C383" s="18" t="s">
        <v>749</v>
      </c>
      <c r="D383" s="19" t="s">
        <v>644</v>
      </c>
      <c r="E383" s="20" t="s">
        <v>379</v>
      </c>
    </row>
    <row r="384" spans="1:5" x14ac:dyDescent="0.45">
      <c r="A384" s="16">
        <v>382</v>
      </c>
      <c r="B384" s="17" t="s">
        <v>750</v>
      </c>
      <c r="C384" s="18" t="s">
        <v>751</v>
      </c>
      <c r="D384" s="19" t="s">
        <v>644</v>
      </c>
      <c r="E384" s="20" t="s">
        <v>379</v>
      </c>
    </row>
    <row r="385" spans="1:6" x14ac:dyDescent="0.45">
      <c r="A385" s="16">
        <v>383</v>
      </c>
      <c r="B385" s="17" t="s">
        <v>752</v>
      </c>
      <c r="C385" s="18" t="s">
        <v>753</v>
      </c>
      <c r="D385" s="19" t="s">
        <v>644</v>
      </c>
      <c r="E385" s="20" t="s">
        <v>379</v>
      </c>
    </row>
    <row r="386" spans="1:6" x14ac:dyDescent="0.45">
      <c r="A386" s="16">
        <v>384</v>
      </c>
      <c r="B386" s="17" t="s">
        <v>754</v>
      </c>
      <c r="C386" s="18" t="s">
        <v>755</v>
      </c>
      <c r="D386" s="19" t="s">
        <v>644</v>
      </c>
      <c r="E386" s="20" t="s">
        <v>379</v>
      </c>
    </row>
    <row r="387" spans="1:6" x14ac:dyDescent="0.45">
      <c r="A387" s="16">
        <v>385</v>
      </c>
      <c r="B387" s="17" t="s">
        <v>756</v>
      </c>
      <c r="C387" s="18" t="s">
        <v>757</v>
      </c>
      <c r="D387" s="19" t="s">
        <v>644</v>
      </c>
      <c r="E387" s="20" t="s">
        <v>379</v>
      </c>
    </row>
    <row r="388" spans="1:6" x14ac:dyDescent="0.45">
      <c r="A388" s="16">
        <v>386</v>
      </c>
      <c r="B388" s="17" t="s">
        <v>758</v>
      </c>
      <c r="C388" s="18" t="s">
        <v>759</v>
      </c>
      <c r="D388" s="19" t="s">
        <v>644</v>
      </c>
      <c r="E388" s="20" t="s">
        <v>379</v>
      </c>
    </row>
    <row r="389" spans="1:6" ht="23.25" customHeight="1" x14ac:dyDescent="0.45">
      <c r="A389" s="6">
        <v>387</v>
      </c>
      <c r="B389" s="7" t="s">
        <v>760</v>
      </c>
      <c r="C389" s="8" t="s">
        <v>761</v>
      </c>
      <c r="D389" s="9" t="s">
        <v>762</v>
      </c>
      <c r="E389" s="10" t="s">
        <v>10</v>
      </c>
      <c r="F389" t="s">
        <v>763</v>
      </c>
    </row>
    <row r="390" spans="1:6" ht="23.25" customHeight="1" x14ac:dyDescent="0.45">
      <c r="A390" s="6">
        <v>388</v>
      </c>
      <c r="B390" s="7" t="s">
        <v>764</v>
      </c>
      <c r="C390" s="8" t="s">
        <v>765</v>
      </c>
      <c r="D390" s="9" t="s">
        <v>762</v>
      </c>
      <c r="E390" s="10" t="s">
        <v>10</v>
      </c>
      <c r="F390" t="s">
        <v>11</v>
      </c>
    </row>
    <row r="391" spans="1:6" ht="23.25" customHeight="1" x14ac:dyDescent="0.45">
      <c r="A391" s="6">
        <v>389</v>
      </c>
      <c r="B391" s="7" t="s">
        <v>766</v>
      </c>
      <c r="C391" s="8" t="s">
        <v>767</v>
      </c>
      <c r="D391" s="9" t="s">
        <v>762</v>
      </c>
      <c r="E391" s="10" t="s">
        <v>10</v>
      </c>
      <c r="F391" t="s">
        <v>11</v>
      </c>
    </row>
    <row r="392" spans="1:6" ht="23.25" customHeight="1" x14ac:dyDescent="0.45">
      <c r="A392" s="6">
        <v>390</v>
      </c>
      <c r="B392" s="7" t="s">
        <v>768</v>
      </c>
      <c r="C392" s="8" t="s">
        <v>769</v>
      </c>
      <c r="D392" s="9" t="s">
        <v>762</v>
      </c>
      <c r="E392" s="10" t="s">
        <v>10</v>
      </c>
      <c r="F392" t="s">
        <v>25</v>
      </c>
    </row>
    <row r="393" spans="1:6" ht="23.25" customHeight="1" x14ac:dyDescent="0.45">
      <c r="A393" s="6">
        <v>391</v>
      </c>
      <c r="B393" s="7" t="s">
        <v>770</v>
      </c>
      <c r="C393" s="8" t="s">
        <v>771</v>
      </c>
      <c r="D393" s="9" t="s">
        <v>762</v>
      </c>
      <c r="E393" s="10" t="s">
        <v>10</v>
      </c>
      <c r="F393" t="s">
        <v>25</v>
      </c>
    </row>
    <row r="394" spans="1:6" ht="23.25" customHeight="1" x14ac:dyDescent="0.45">
      <c r="A394" s="6">
        <v>392</v>
      </c>
      <c r="B394" s="7" t="s">
        <v>772</v>
      </c>
      <c r="C394" s="8" t="s">
        <v>773</v>
      </c>
      <c r="D394" s="9" t="s">
        <v>762</v>
      </c>
      <c r="E394" s="10" t="s">
        <v>10</v>
      </c>
      <c r="F394" t="s">
        <v>25</v>
      </c>
    </row>
    <row r="395" spans="1:6" x14ac:dyDescent="0.45">
      <c r="A395" s="6">
        <v>393</v>
      </c>
      <c r="B395" s="7" t="s">
        <v>774</v>
      </c>
      <c r="C395" s="8" t="s">
        <v>775</v>
      </c>
      <c r="D395" s="9" t="s">
        <v>762</v>
      </c>
      <c r="E395" s="10" t="s">
        <v>10</v>
      </c>
      <c r="F395" t="s">
        <v>25</v>
      </c>
    </row>
    <row r="396" spans="1:6" ht="23.25" customHeight="1" x14ac:dyDescent="0.45">
      <c r="A396" s="6">
        <v>394</v>
      </c>
      <c r="B396" s="7" t="s">
        <v>776</v>
      </c>
      <c r="C396" s="8" t="s">
        <v>777</v>
      </c>
      <c r="D396" s="9" t="s">
        <v>762</v>
      </c>
      <c r="E396" s="10" t="s">
        <v>10</v>
      </c>
      <c r="F396" t="s">
        <v>25</v>
      </c>
    </row>
    <row r="397" spans="1:6" ht="23.25" customHeight="1" x14ac:dyDescent="0.45">
      <c r="A397" s="6">
        <v>395</v>
      </c>
      <c r="B397" s="7" t="s">
        <v>778</v>
      </c>
      <c r="C397" s="8" t="s">
        <v>779</v>
      </c>
      <c r="D397" s="9" t="s">
        <v>762</v>
      </c>
      <c r="E397" s="10" t="s">
        <v>10</v>
      </c>
      <c r="F397" t="s">
        <v>11</v>
      </c>
    </row>
    <row r="398" spans="1:6" ht="23.25" customHeight="1" x14ac:dyDescent="0.45">
      <c r="A398" s="6">
        <v>396</v>
      </c>
      <c r="B398" s="7" t="s">
        <v>780</v>
      </c>
      <c r="C398" s="8" t="s">
        <v>781</v>
      </c>
      <c r="D398" s="9" t="s">
        <v>762</v>
      </c>
      <c r="E398" s="10" t="s">
        <v>10</v>
      </c>
      <c r="F398" t="s">
        <v>25</v>
      </c>
    </row>
    <row r="399" spans="1:6" ht="23.25" customHeight="1" x14ac:dyDescent="0.45">
      <c r="A399" s="6">
        <v>397</v>
      </c>
      <c r="B399" s="7" t="s">
        <v>782</v>
      </c>
      <c r="C399" s="8" t="s">
        <v>783</v>
      </c>
      <c r="D399" s="9" t="s">
        <v>762</v>
      </c>
      <c r="E399" s="10" t="s">
        <v>10</v>
      </c>
      <c r="F399" t="s">
        <v>25</v>
      </c>
    </row>
    <row r="400" spans="1:6" ht="23.25" customHeight="1" x14ac:dyDescent="0.45">
      <c r="A400" s="6">
        <v>398</v>
      </c>
      <c r="B400" s="7" t="s">
        <v>784</v>
      </c>
      <c r="C400" s="8" t="s">
        <v>785</v>
      </c>
      <c r="D400" s="9" t="s">
        <v>762</v>
      </c>
      <c r="E400" s="10" t="s">
        <v>10</v>
      </c>
      <c r="F400" t="s">
        <v>25</v>
      </c>
    </row>
    <row r="401" spans="1:6" ht="23.25" customHeight="1" x14ac:dyDescent="0.45">
      <c r="A401" s="6">
        <v>399</v>
      </c>
      <c r="B401" s="7" t="s">
        <v>786</v>
      </c>
      <c r="C401" s="8" t="s">
        <v>787</v>
      </c>
      <c r="D401" s="9" t="s">
        <v>762</v>
      </c>
      <c r="E401" s="10" t="s">
        <v>10</v>
      </c>
      <c r="F401" t="s">
        <v>25</v>
      </c>
    </row>
    <row r="402" spans="1:6" ht="34.9" customHeight="1" x14ac:dyDescent="0.45">
      <c r="A402" s="11">
        <v>400</v>
      </c>
      <c r="B402" s="12" t="s">
        <v>788</v>
      </c>
      <c r="C402" s="13" t="s">
        <v>789</v>
      </c>
      <c r="D402" s="14" t="s">
        <v>762</v>
      </c>
      <c r="E402" s="15" t="s">
        <v>197</v>
      </c>
    </row>
    <row r="403" spans="1:6" ht="23.25" customHeight="1" x14ac:dyDescent="0.45">
      <c r="A403" s="11">
        <v>401</v>
      </c>
      <c r="B403" s="12" t="s">
        <v>790</v>
      </c>
      <c r="C403" s="13" t="s">
        <v>791</v>
      </c>
      <c r="D403" s="14" t="s">
        <v>762</v>
      </c>
      <c r="E403" s="15" t="s">
        <v>197</v>
      </c>
    </row>
    <row r="404" spans="1:6" ht="23.25" customHeight="1" x14ac:dyDescent="0.45">
      <c r="A404" s="11">
        <v>402</v>
      </c>
      <c r="B404" s="12" t="s">
        <v>792</v>
      </c>
      <c r="C404" s="13" t="s">
        <v>793</v>
      </c>
      <c r="D404" s="14" t="s">
        <v>762</v>
      </c>
      <c r="E404" s="15" t="s">
        <v>197</v>
      </c>
    </row>
    <row r="405" spans="1:6" ht="23.25" customHeight="1" x14ac:dyDescent="0.45">
      <c r="A405" s="11">
        <v>403</v>
      </c>
      <c r="B405" s="12" t="s">
        <v>794</v>
      </c>
      <c r="C405" s="13" t="s">
        <v>795</v>
      </c>
      <c r="D405" s="14" t="s">
        <v>762</v>
      </c>
      <c r="E405" s="15" t="s">
        <v>197</v>
      </c>
    </row>
    <row r="406" spans="1:6" ht="34.9" customHeight="1" x14ac:dyDescent="0.45">
      <c r="A406" s="11">
        <v>404</v>
      </c>
      <c r="B406" s="12" t="s">
        <v>796</v>
      </c>
      <c r="C406" s="13" t="s">
        <v>797</v>
      </c>
      <c r="D406" s="14" t="s">
        <v>762</v>
      </c>
      <c r="E406" s="15" t="s">
        <v>197</v>
      </c>
    </row>
    <row r="407" spans="1:6" ht="23.25" customHeight="1" x14ac:dyDescent="0.45">
      <c r="A407" s="11">
        <v>405</v>
      </c>
      <c r="B407" s="12" t="s">
        <v>798</v>
      </c>
      <c r="C407" s="13" t="s">
        <v>799</v>
      </c>
      <c r="D407" s="14" t="s">
        <v>762</v>
      </c>
      <c r="E407" s="15" t="s">
        <v>197</v>
      </c>
    </row>
    <row r="408" spans="1:6" ht="34.9" customHeight="1" x14ac:dyDescent="0.45">
      <c r="A408" s="11">
        <v>406</v>
      </c>
      <c r="B408" s="12" t="s">
        <v>800</v>
      </c>
      <c r="C408" s="13" t="s">
        <v>801</v>
      </c>
      <c r="D408" s="14" t="s">
        <v>762</v>
      </c>
      <c r="E408" s="15" t="s">
        <v>197</v>
      </c>
    </row>
    <row r="409" spans="1:6" ht="23.25" customHeight="1" x14ac:dyDescent="0.45">
      <c r="A409" s="11">
        <v>407</v>
      </c>
      <c r="B409" s="12" t="s">
        <v>802</v>
      </c>
      <c r="C409" s="13" t="s">
        <v>803</v>
      </c>
      <c r="D409" s="14" t="s">
        <v>762</v>
      </c>
      <c r="E409" s="15" t="s">
        <v>197</v>
      </c>
    </row>
    <row r="410" spans="1:6" ht="23.25" customHeight="1" x14ac:dyDescent="0.45">
      <c r="A410" s="11">
        <v>408</v>
      </c>
      <c r="B410" s="12" t="s">
        <v>804</v>
      </c>
      <c r="C410" s="13" t="s">
        <v>805</v>
      </c>
      <c r="D410" s="14" t="s">
        <v>762</v>
      </c>
      <c r="E410" s="15" t="s">
        <v>197</v>
      </c>
    </row>
    <row r="411" spans="1:6" ht="34.9" customHeight="1" x14ac:dyDescent="0.45">
      <c r="A411" s="11">
        <v>409</v>
      </c>
      <c r="B411" s="12" t="s">
        <v>806</v>
      </c>
      <c r="C411" s="13" t="s">
        <v>807</v>
      </c>
      <c r="D411" s="14" t="s">
        <v>762</v>
      </c>
      <c r="E411" s="15" t="s">
        <v>197</v>
      </c>
    </row>
    <row r="412" spans="1:6" ht="23.25" customHeight="1" x14ac:dyDescent="0.45">
      <c r="A412" s="11">
        <v>410</v>
      </c>
      <c r="B412" s="12" t="s">
        <v>808</v>
      </c>
      <c r="C412" s="13" t="s">
        <v>809</v>
      </c>
      <c r="D412" s="14" t="s">
        <v>762</v>
      </c>
      <c r="E412" s="15" t="s">
        <v>197</v>
      </c>
    </row>
    <row r="413" spans="1:6" ht="23.25" customHeight="1" x14ac:dyDescent="0.45">
      <c r="A413" s="11">
        <v>411</v>
      </c>
      <c r="B413" s="12" t="s">
        <v>810</v>
      </c>
      <c r="C413" s="13" t="s">
        <v>811</v>
      </c>
      <c r="D413" s="14" t="s">
        <v>762</v>
      </c>
      <c r="E413" s="15" t="s">
        <v>197</v>
      </c>
    </row>
    <row r="414" spans="1:6" ht="34.9" customHeight="1" x14ac:dyDescent="0.45">
      <c r="A414" s="11">
        <v>412</v>
      </c>
      <c r="B414" s="12" t="s">
        <v>812</v>
      </c>
      <c r="C414" s="13" t="s">
        <v>813</v>
      </c>
      <c r="D414" s="14" t="s">
        <v>762</v>
      </c>
      <c r="E414" s="15" t="s">
        <v>197</v>
      </c>
    </row>
    <row r="415" spans="1:6" ht="23.25" customHeight="1" x14ac:dyDescent="0.45">
      <c r="A415" s="11">
        <v>413</v>
      </c>
      <c r="B415" s="12" t="s">
        <v>814</v>
      </c>
      <c r="C415" s="13" t="s">
        <v>815</v>
      </c>
      <c r="D415" s="14" t="s">
        <v>762</v>
      </c>
      <c r="E415" s="15" t="s">
        <v>197</v>
      </c>
    </row>
    <row r="416" spans="1:6" ht="23.25" customHeight="1" x14ac:dyDescent="0.45">
      <c r="A416" s="11">
        <v>414</v>
      </c>
      <c r="B416" s="12" t="s">
        <v>816</v>
      </c>
      <c r="C416" s="13" t="s">
        <v>817</v>
      </c>
      <c r="D416" s="14" t="s">
        <v>762</v>
      </c>
      <c r="E416" s="15" t="s">
        <v>197</v>
      </c>
    </row>
    <row r="417" spans="1:5" ht="23.25" customHeight="1" x14ac:dyDescent="0.45">
      <c r="A417" s="11">
        <v>415</v>
      </c>
      <c r="B417" s="12" t="s">
        <v>818</v>
      </c>
      <c r="C417" s="13" t="s">
        <v>819</v>
      </c>
      <c r="D417" s="14" t="s">
        <v>762</v>
      </c>
      <c r="E417" s="15" t="s">
        <v>197</v>
      </c>
    </row>
    <row r="418" spans="1:5" ht="23.25" customHeight="1" x14ac:dyDescent="0.45">
      <c r="A418" s="11">
        <v>416</v>
      </c>
      <c r="B418" s="12" t="s">
        <v>820</v>
      </c>
      <c r="C418" s="13" t="s">
        <v>821</v>
      </c>
      <c r="D418" s="14" t="s">
        <v>762</v>
      </c>
      <c r="E418" s="15" t="s">
        <v>197</v>
      </c>
    </row>
    <row r="419" spans="1:5" ht="34.9" customHeight="1" x14ac:dyDescent="0.45">
      <c r="A419" s="11">
        <v>417</v>
      </c>
      <c r="B419" s="12" t="s">
        <v>822</v>
      </c>
      <c r="C419" s="13" t="s">
        <v>823</v>
      </c>
      <c r="D419" s="14" t="s">
        <v>762</v>
      </c>
      <c r="E419" s="15" t="s">
        <v>197</v>
      </c>
    </row>
    <row r="420" spans="1:5" ht="23.25" customHeight="1" x14ac:dyDescent="0.45">
      <c r="A420" s="11">
        <v>418</v>
      </c>
      <c r="B420" s="12" t="s">
        <v>824</v>
      </c>
      <c r="C420" s="13" t="s">
        <v>825</v>
      </c>
      <c r="D420" s="14" t="s">
        <v>762</v>
      </c>
      <c r="E420" s="15" t="s">
        <v>197</v>
      </c>
    </row>
    <row r="421" spans="1:5" ht="23.25" customHeight="1" x14ac:dyDescent="0.45">
      <c r="A421" s="11">
        <v>419</v>
      </c>
      <c r="B421" s="12" t="s">
        <v>826</v>
      </c>
      <c r="C421" s="13" t="s">
        <v>827</v>
      </c>
      <c r="D421" s="14" t="s">
        <v>762</v>
      </c>
      <c r="E421" s="15" t="s">
        <v>197</v>
      </c>
    </row>
    <row r="422" spans="1:5" ht="23.25" customHeight="1" x14ac:dyDescent="0.45">
      <c r="A422" s="11">
        <v>420</v>
      </c>
      <c r="B422" s="12" t="s">
        <v>828</v>
      </c>
      <c r="C422" s="13" t="s">
        <v>829</v>
      </c>
      <c r="D422" s="14" t="s">
        <v>762</v>
      </c>
      <c r="E422" s="15" t="s">
        <v>197</v>
      </c>
    </row>
    <row r="423" spans="1:5" ht="23.25" customHeight="1" x14ac:dyDescent="0.45">
      <c r="A423" s="11">
        <v>421</v>
      </c>
      <c r="B423" s="12" t="s">
        <v>830</v>
      </c>
      <c r="C423" s="13" t="s">
        <v>831</v>
      </c>
      <c r="D423" s="14" t="s">
        <v>762</v>
      </c>
      <c r="E423" s="15" t="s">
        <v>197</v>
      </c>
    </row>
    <row r="424" spans="1:5" ht="23.25" customHeight="1" x14ac:dyDescent="0.45">
      <c r="A424" s="11">
        <v>422</v>
      </c>
      <c r="B424" s="12" t="s">
        <v>832</v>
      </c>
      <c r="C424" s="13" t="s">
        <v>833</v>
      </c>
      <c r="D424" s="14" t="s">
        <v>762</v>
      </c>
      <c r="E424" s="15" t="s">
        <v>197</v>
      </c>
    </row>
    <row r="425" spans="1:5" ht="23.25" customHeight="1" x14ac:dyDescent="0.45">
      <c r="A425" s="11">
        <v>423</v>
      </c>
      <c r="B425" s="12" t="s">
        <v>834</v>
      </c>
      <c r="C425" s="13" t="s">
        <v>835</v>
      </c>
      <c r="D425" s="14" t="s">
        <v>762</v>
      </c>
      <c r="E425" s="15" t="s">
        <v>197</v>
      </c>
    </row>
    <row r="426" spans="1:5" ht="23.25" customHeight="1" x14ac:dyDescent="0.45">
      <c r="A426" s="11">
        <v>424</v>
      </c>
      <c r="B426" s="12" t="s">
        <v>836</v>
      </c>
      <c r="C426" s="13" t="s">
        <v>837</v>
      </c>
      <c r="D426" s="14" t="s">
        <v>762</v>
      </c>
      <c r="E426" s="15" t="s">
        <v>197</v>
      </c>
    </row>
    <row r="427" spans="1:5" ht="23.25" customHeight="1" x14ac:dyDescent="0.45">
      <c r="A427" s="11">
        <v>425</v>
      </c>
      <c r="B427" s="12" t="s">
        <v>838</v>
      </c>
      <c r="C427" s="13" t="s">
        <v>839</v>
      </c>
      <c r="D427" s="14" t="s">
        <v>762</v>
      </c>
      <c r="E427" s="15" t="s">
        <v>197</v>
      </c>
    </row>
    <row r="428" spans="1:5" ht="23.25" customHeight="1" x14ac:dyDescent="0.45">
      <c r="A428" s="11">
        <v>426</v>
      </c>
      <c r="B428" s="12" t="s">
        <v>840</v>
      </c>
      <c r="C428" s="13" t="s">
        <v>841</v>
      </c>
      <c r="D428" s="14" t="s">
        <v>762</v>
      </c>
      <c r="E428" s="15" t="s">
        <v>197</v>
      </c>
    </row>
    <row r="429" spans="1:5" ht="34.9" customHeight="1" x14ac:dyDescent="0.45">
      <c r="A429" s="11">
        <v>427</v>
      </c>
      <c r="B429" s="12" t="s">
        <v>842</v>
      </c>
      <c r="C429" s="13" t="s">
        <v>843</v>
      </c>
      <c r="D429" s="14" t="s">
        <v>762</v>
      </c>
      <c r="E429" s="15" t="s">
        <v>197</v>
      </c>
    </row>
    <row r="430" spans="1:5" ht="23.25" customHeight="1" x14ac:dyDescent="0.45">
      <c r="A430" s="11">
        <v>428</v>
      </c>
      <c r="B430" s="12" t="s">
        <v>844</v>
      </c>
      <c r="C430" s="13" t="s">
        <v>845</v>
      </c>
      <c r="D430" s="14" t="s">
        <v>762</v>
      </c>
      <c r="E430" s="15" t="s">
        <v>197</v>
      </c>
    </row>
    <row r="431" spans="1:5" ht="23.25" customHeight="1" x14ac:dyDescent="0.45">
      <c r="A431" s="11">
        <v>429</v>
      </c>
      <c r="B431" s="12" t="s">
        <v>846</v>
      </c>
      <c r="C431" s="13" t="s">
        <v>847</v>
      </c>
      <c r="D431" s="14" t="s">
        <v>762</v>
      </c>
      <c r="E431" s="15" t="s">
        <v>197</v>
      </c>
    </row>
    <row r="432" spans="1:5" ht="23.25" customHeight="1" x14ac:dyDescent="0.45">
      <c r="A432" s="11">
        <v>430</v>
      </c>
      <c r="B432" s="12" t="s">
        <v>848</v>
      </c>
      <c r="C432" s="13" t="s">
        <v>849</v>
      </c>
      <c r="D432" s="14" t="s">
        <v>762</v>
      </c>
      <c r="E432" s="15" t="s">
        <v>197</v>
      </c>
    </row>
    <row r="433" spans="1:5" ht="23.25" customHeight="1" x14ac:dyDescent="0.45">
      <c r="A433" s="11">
        <v>431</v>
      </c>
      <c r="B433" s="12" t="s">
        <v>850</v>
      </c>
      <c r="C433" s="13" t="s">
        <v>851</v>
      </c>
      <c r="D433" s="14" t="s">
        <v>762</v>
      </c>
      <c r="E433" s="15" t="s">
        <v>197</v>
      </c>
    </row>
    <row r="434" spans="1:5" ht="23.25" customHeight="1" x14ac:dyDescent="0.45">
      <c r="A434" s="11">
        <v>432</v>
      </c>
      <c r="B434" s="12" t="s">
        <v>852</v>
      </c>
      <c r="C434" s="13" t="s">
        <v>853</v>
      </c>
      <c r="D434" s="14" t="s">
        <v>762</v>
      </c>
      <c r="E434" s="15" t="s">
        <v>197</v>
      </c>
    </row>
    <row r="435" spans="1:5" ht="34.9" customHeight="1" x14ac:dyDescent="0.45">
      <c r="A435" s="11">
        <v>433</v>
      </c>
      <c r="B435" s="12" t="s">
        <v>854</v>
      </c>
      <c r="C435" s="13" t="s">
        <v>855</v>
      </c>
      <c r="D435" s="14" t="s">
        <v>762</v>
      </c>
      <c r="E435" s="15" t="s">
        <v>197</v>
      </c>
    </row>
    <row r="436" spans="1:5" ht="23.25" customHeight="1" x14ac:dyDescent="0.45">
      <c r="A436" s="11">
        <v>434</v>
      </c>
      <c r="B436" s="12" t="s">
        <v>856</v>
      </c>
      <c r="C436" s="13" t="s">
        <v>857</v>
      </c>
      <c r="D436" s="14" t="s">
        <v>762</v>
      </c>
      <c r="E436" s="15" t="s">
        <v>197</v>
      </c>
    </row>
    <row r="437" spans="1:5" ht="34.9" customHeight="1" x14ac:dyDescent="0.45">
      <c r="A437" s="11">
        <v>435</v>
      </c>
      <c r="B437" s="12" t="s">
        <v>858</v>
      </c>
      <c r="C437" s="13" t="s">
        <v>859</v>
      </c>
      <c r="D437" s="14" t="s">
        <v>762</v>
      </c>
      <c r="E437" s="15" t="s">
        <v>197</v>
      </c>
    </row>
    <row r="438" spans="1:5" ht="34.9" customHeight="1" x14ac:dyDescent="0.45">
      <c r="A438" s="11">
        <v>436</v>
      </c>
      <c r="B438" s="12" t="s">
        <v>860</v>
      </c>
      <c r="C438" s="13" t="s">
        <v>861</v>
      </c>
      <c r="D438" s="14" t="s">
        <v>762</v>
      </c>
      <c r="E438" s="15" t="s">
        <v>197</v>
      </c>
    </row>
    <row r="439" spans="1:5" ht="23.25" customHeight="1" x14ac:dyDescent="0.45">
      <c r="A439" s="11">
        <v>437</v>
      </c>
      <c r="B439" s="12" t="s">
        <v>862</v>
      </c>
      <c r="C439" s="13" t="s">
        <v>863</v>
      </c>
      <c r="D439" s="14" t="s">
        <v>762</v>
      </c>
      <c r="E439" s="15" t="s">
        <v>197</v>
      </c>
    </row>
    <row r="440" spans="1:5" ht="23.25" customHeight="1" x14ac:dyDescent="0.45">
      <c r="A440" s="11">
        <v>438</v>
      </c>
      <c r="B440" s="12" t="s">
        <v>864</v>
      </c>
      <c r="C440" s="13" t="s">
        <v>865</v>
      </c>
      <c r="D440" s="14" t="s">
        <v>762</v>
      </c>
      <c r="E440" s="15" t="s">
        <v>197</v>
      </c>
    </row>
    <row r="441" spans="1:5" ht="23.25" customHeight="1" x14ac:dyDescent="0.45">
      <c r="A441" s="11">
        <v>439</v>
      </c>
      <c r="B441" s="12" t="s">
        <v>866</v>
      </c>
      <c r="C441" s="13" t="s">
        <v>867</v>
      </c>
      <c r="D441" s="14" t="s">
        <v>762</v>
      </c>
      <c r="E441" s="15" t="s">
        <v>197</v>
      </c>
    </row>
    <row r="442" spans="1:5" ht="23.25" customHeight="1" x14ac:dyDescent="0.45">
      <c r="A442" s="11">
        <v>440</v>
      </c>
      <c r="B442" s="12" t="s">
        <v>868</v>
      </c>
      <c r="C442" s="13" t="s">
        <v>869</v>
      </c>
      <c r="D442" s="14" t="s">
        <v>762</v>
      </c>
      <c r="E442" s="15" t="s">
        <v>197</v>
      </c>
    </row>
    <row r="443" spans="1:5" x14ac:dyDescent="0.45">
      <c r="A443" s="11">
        <v>441</v>
      </c>
      <c r="B443" s="12" t="s">
        <v>870</v>
      </c>
      <c r="C443" s="13" t="s">
        <v>871</v>
      </c>
      <c r="D443" s="14" t="s">
        <v>762</v>
      </c>
      <c r="E443" s="15" t="s">
        <v>197</v>
      </c>
    </row>
    <row r="444" spans="1:5" ht="23.25" customHeight="1" x14ac:dyDescent="0.45">
      <c r="A444" s="11">
        <v>442</v>
      </c>
      <c r="B444" s="12" t="s">
        <v>872</v>
      </c>
      <c r="C444" s="13" t="s">
        <v>873</v>
      </c>
      <c r="D444" s="14" t="s">
        <v>762</v>
      </c>
      <c r="E444" s="15" t="s">
        <v>197</v>
      </c>
    </row>
    <row r="445" spans="1:5" ht="46.5" customHeight="1" x14ac:dyDescent="0.45">
      <c r="A445" s="11">
        <v>443</v>
      </c>
      <c r="B445" s="12" t="s">
        <v>874</v>
      </c>
      <c r="C445" s="13" t="s">
        <v>875</v>
      </c>
      <c r="D445" s="14" t="s">
        <v>762</v>
      </c>
      <c r="E445" s="15" t="s">
        <v>197</v>
      </c>
    </row>
    <row r="446" spans="1:5" ht="23.25" customHeight="1" x14ac:dyDescent="0.45">
      <c r="A446" s="11">
        <v>444</v>
      </c>
      <c r="B446" s="12" t="s">
        <v>876</v>
      </c>
      <c r="C446" s="13" t="s">
        <v>877</v>
      </c>
      <c r="D446" s="14" t="s">
        <v>762</v>
      </c>
      <c r="E446" s="15" t="s">
        <v>197</v>
      </c>
    </row>
    <row r="447" spans="1:5" ht="23.25" customHeight="1" x14ac:dyDescent="0.45">
      <c r="A447" s="11">
        <v>445</v>
      </c>
      <c r="B447" s="12" t="s">
        <v>878</v>
      </c>
      <c r="C447" s="13" t="s">
        <v>879</v>
      </c>
      <c r="D447" s="14" t="s">
        <v>762</v>
      </c>
      <c r="E447" s="15" t="s">
        <v>197</v>
      </c>
    </row>
    <row r="448" spans="1:5" ht="34.9" customHeight="1" x14ac:dyDescent="0.45">
      <c r="A448" s="11">
        <v>446</v>
      </c>
      <c r="B448" s="12" t="s">
        <v>880</v>
      </c>
      <c r="C448" s="13" t="s">
        <v>881</v>
      </c>
      <c r="D448" s="14" t="s">
        <v>762</v>
      </c>
      <c r="E448" s="15" t="s">
        <v>197</v>
      </c>
    </row>
    <row r="449" spans="1:5" ht="23.25" customHeight="1" x14ac:dyDescent="0.45">
      <c r="A449" s="11">
        <v>447</v>
      </c>
      <c r="B449" s="12" t="s">
        <v>882</v>
      </c>
      <c r="C449" s="13" t="s">
        <v>883</v>
      </c>
      <c r="D449" s="14" t="s">
        <v>762</v>
      </c>
      <c r="E449" s="15" t="s">
        <v>197</v>
      </c>
    </row>
    <row r="450" spans="1:5" ht="23.25" customHeight="1" x14ac:dyDescent="0.45">
      <c r="A450" s="16">
        <v>448</v>
      </c>
      <c r="B450" s="17" t="s">
        <v>884</v>
      </c>
      <c r="C450" s="18" t="s">
        <v>885</v>
      </c>
      <c r="D450" s="19" t="s">
        <v>762</v>
      </c>
      <c r="E450" s="20" t="s">
        <v>379</v>
      </c>
    </row>
    <row r="451" spans="1:5" ht="23.25" customHeight="1" x14ac:dyDescent="0.45">
      <c r="A451" s="16">
        <v>449</v>
      </c>
      <c r="B451" s="17" t="s">
        <v>886</v>
      </c>
      <c r="C451" s="18" t="s">
        <v>887</v>
      </c>
      <c r="D451" s="19" t="s">
        <v>762</v>
      </c>
      <c r="E451" s="20" t="s">
        <v>379</v>
      </c>
    </row>
    <row r="452" spans="1:5" ht="23.25" customHeight="1" x14ac:dyDescent="0.45">
      <c r="A452" s="16">
        <v>450</v>
      </c>
      <c r="B452" s="17" t="s">
        <v>888</v>
      </c>
      <c r="C452" s="18" t="s">
        <v>889</v>
      </c>
      <c r="D452" s="19" t="s">
        <v>762</v>
      </c>
      <c r="E452" s="20" t="s">
        <v>379</v>
      </c>
    </row>
    <row r="453" spans="1:5" ht="23.25" customHeight="1" x14ac:dyDescent="0.45">
      <c r="A453" s="16">
        <v>451</v>
      </c>
      <c r="B453" s="17" t="s">
        <v>890</v>
      </c>
      <c r="C453" s="18" t="s">
        <v>891</v>
      </c>
      <c r="D453" s="19" t="s">
        <v>762</v>
      </c>
      <c r="E453" s="20" t="s">
        <v>379</v>
      </c>
    </row>
    <row r="454" spans="1:5" ht="23.25" customHeight="1" x14ac:dyDescent="0.45">
      <c r="A454" s="16">
        <v>452</v>
      </c>
      <c r="B454" s="17" t="s">
        <v>892</v>
      </c>
      <c r="C454" s="18" t="s">
        <v>893</v>
      </c>
      <c r="D454" s="19" t="s">
        <v>762</v>
      </c>
      <c r="E454" s="20" t="s">
        <v>379</v>
      </c>
    </row>
    <row r="455" spans="1:5" x14ac:dyDescent="0.45">
      <c r="A455" s="11">
        <v>453</v>
      </c>
      <c r="B455" s="12" t="s">
        <v>894</v>
      </c>
      <c r="C455" s="13" t="s">
        <v>895</v>
      </c>
      <c r="D455" s="14" t="s">
        <v>896</v>
      </c>
      <c r="E455" s="15" t="s">
        <v>197</v>
      </c>
    </row>
    <row r="456" spans="1:5" x14ac:dyDescent="0.45">
      <c r="A456" s="11">
        <v>454</v>
      </c>
      <c r="B456" s="12" t="s">
        <v>897</v>
      </c>
      <c r="C456" s="13" t="s">
        <v>898</v>
      </c>
      <c r="D456" s="14" t="s">
        <v>896</v>
      </c>
      <c r="E456" s="15" t="s">
        <v>197</v>
      </c>
    </row>
    <row r="457" spans="1:5" x14ac:dyDescent="0.45">
      <c r="A457" s="11">
        <v>455</v>
      </c>
      <c r="B457" s="12" t="s">
        <v>899</v>
      </c>
      <c r="C457" s="13" t="s">
        <v>900</v>
      </c>
      <c r="D457" s="14" t="s">
        <v>896</v>
      </c>
      <c r="E457" s="15" t="s">
        <v>197</v>
      </c>
    </row>
    <row r="458" spans="1:5" x14ac:dyDescent="0.45">
      <c r="A458" s="11">
        <v>456</v>
      </c>
      <c r="B458" s="12" t="s">
        <v>901</v>
      </c>
      <c r="C458" s="13" t="s">
        <v>902</v>
      </c>
      <c r="D458" s="14" t="s">
        <v>896</v>
      </c>
      <c r="E458" s="15" t="s">
        <v>197</v>
      </c>
    </row>
    <row r="459" spans="1:5" x14ac:dyDescent="0.45">
      <c r="A459" s="11">
        <v>457</v>
      </c>
      <c r="B459" s="12" t="s">
        <v>903</v>
      </c>
      <c r="C459" s="13" t="s">
        <v>904</v>
      </c>
      <c r="D459" s="14" t="s">
        <v>896</v>
      </c>
      <c r="E459" s="15" t="s">
        <v>197</v>
      </c>
    </row>
    <row r="460" spans="1:5" x14ac:dyDescent="0.45">
      <c r="A460" s="11">
        <v>458</v>
      </c>
      <c r="B460" s="12" t="s">
        <v>905</v>
      </c>
      <c r="C460" s="13" t="s">
        <v>906</v>
      </c>
      <c r="D460" s="14" t="s">
        <v>896</v>
      </c>
      <c r="E460" s="15" t="s">
        <v>197</v>
      </c>
    </row>
    <row r="461" spans="1:5" x14ac:dyDescent="0.45">
      <c r="A461" s="11">
        <v>459</v>
      </c>
      <c r="B461" s="12" t="s">
        <v>907</v>
      </c>
      <c r="C461" s="13" t="s">
        <v>908</v>
      </c>
      <c r="D461" s="14" t="s">
        <v>896</v>
      </c>
      <c r="E461" s="15" t="s">
        <v>197</v>
      </c>
    </row>
    <row r="462" spans="1:5" x14ac:dyDescent="0.45">
      <c r="A462" s="11">
        <v>460</v>
      </c>
      <c r="B462" s="12" t="s">
        <v>909</v>
      </c>
      <c r="C462" s="13" t="s">
        <v>910</v>
      </c>
      <c r="D462" s="14" t="s">
        <v>896</v>
      </c>
      <c r="E462" s="15" t="s">
        <v>197</v>
      </c>
    </row>
    <row r="463" spans="1:5" x14ac:dyDescent="0.45">
      <c r="A463" s="11">
        <v>461</v>
      </c>
      <c r="B463" s="12" t="s">
        <v>911</v>
      </c>
      <c r="C463" s="13" t="s">
        <v>912</v>
      </c>
      <c r="D463" s="14" t="s">
        <v>896</v>
      </c>
      <c r="E463" s="15" t="s">
        <v>197</v>
      </c>
    </row>
    <row r="464" spans="1:5" x14ac:dyDescent="0.45">
      <c r="A464" s="11">
        <v>462</v>
      </c>
      <c r="B464" s="12" t="s">
        <v>913</v>
      </c>
      <c r="C464" s="13" t="s">
        <v>914</v>
      </c>
      <c r="D464" s="14" t="s">
        <v>896</v>
      </c>
      <c r="E464" s="15" t="s">
        <v>197</v>
      </c>
    </row>
    <row r="465" spans="1:5" x14ac:dyDescent="0.45">
      <c r="A465" s="11">
        <v>463</v>
      </c>
      <c r="B465" s="12" t="s">
        <v>915</v>
      </c>
      <c r="C465" s="13" t="s">
        <v>916</v>
      </c>
      <c r="D465" s="14" t="s">
        <v>896</v>
      </c>
      <c r="E465" s="15" t="s">
        <v>197</v>
      </c>
    </row>
    <row r="466" spans="1:5" x14ac:dyDescent="0.45">
      <c r="A466" s="11">
        <v>464</v>
      </c>
      <c r="B466" s="12" t="s">
        <v>917</v>
      </c>
      <c r="C466" s="13" t="s">
        <v>918</v>
      </c>
      <c r="D466" s="14" t="s">
        <v>896</v>
      </c>
      <c r="E466" s="15" t="s">
        <v>197</v>
      </c>
    </row>
    <row r="467" spans="1:5" x14ac:dyDescent="0.45">
      <c r="A467" s="11">
        <v>465</v>
      </c>
      <c r="B467" s="12" t="s">
        <v>919</v>
      </c>
      <c r="C467" s="13" t="s">
        <v>920</v>
      </c>
      <c r="D467" s="14" t="s">
        <v>896</v>
      </c>
      <c r="E467" s="15" t="s">
        <v>197</v>
      </c>
    </row>
    <row r="468" spans="1:5" x14ac:dyDescent="0.45">
      <c r="A468" s="11">
        <v>466</v>
      </c>
      <c r="B468" s="12" t="s">
        <v>921</v>
      </c>
      <c r="C468" s="13" t="s">
        <v>922</v>
      </c>
      <c r="D468" s="14" t="s">
        <v>896</v>
      </c>
      <c r="E468" s="15" t="s">
        <v>197</v>
      </c>
    </row>
    <row r="469" spans="1:5" x14ac:dyDescent="0.45">
      <c r="A469" s="11">
        <v>467</v>
      </c>
      <c r="B469" s="12" t="s">
        <v>923</v>
      </c>
      <c r="C469" s="13" t="s">
        <v>924</v>
      </c>
      <c r="D469" s="14" t="s">
        <v>896</v>
      </c>
      <c r="E469" s="15" t="s">
        <v>197</v>
      </c>
    </row>
    <row r="470" spans="1:5" x14ac:dyDescent="0.45">
      <c r="A470" s="11">
        <v>468</v>
      </c>
      <c r="B470" s="12" t="s">
        <v>925</v>
      </c>
      <c r="C470" s="13" t="s">
        <v>926</v>
      </c>
      <c r="D470" s="14" t="s">
        <v>896</v>
      </c>
      <c r="E470" s="15" t="s">
        <v>197</v>
      </c>
    </row>
    <row r="471" spans="1:5" x14ac:dyDescent="0.45">
      <c r="A471" s="11">
        <v>469</v>
      </c>
      <c r="B471" s="12" t="s">
        <v>927</v>
      </c>
      <c r="C471" s="13" t="s">
        <v>928</v>
      </c>
      <c r="D471" s="14" t="s">
        <v>896</v>
      </c>
      <c r="E471" s="15" t="s">
        <v>197</v>
      </c>
    </row>
    <row r="472" spans="1:5" x14ac:dyDescent="0.45">
      <c r="A472" s="11">
        <v>470</v>
      </c>
      <c r="B472" s="12" t="s">
        <v>929</v>
      </c>
      <c r="C472" s="13" t="s">
        <v>930</v>
      </c>
      <c r="D472" s="14" t="s">
        <v>896</v>
      </c>
      <c r="E472" s="15" t="s">
        <v>197</v>
      </c>
    </row>
    <row r="473" spans="1:5" x14ac:dyDescent="0.45">
      <c r="A473" s="11">
        <v>471</v>
      </c>
      <c r="B473" s="12" t="s">
        <v>931</v>
      </c>
      <c r="C473" s="13" t="s">
        <v>932</v>
      </c>
      <c r="D473" s="14" t="s">
        <v>896</v>
      </c>
      <c r="E473" s="15" t="s">
        <v>197</v>
      </c>
    </row>
    <row r="474" spans="1:5" x14ac:dyDescent="0.45">
      <c r="A474" s="11">
        <v>472</v>
      </c>
      <c r="B474" s="12" t="s">
        <v>933</v>
      </c>
      <c r="C474" s="13" t="s">
        <v>934</v>
      </c>
      <c r="D474" s="14" t="s">
        <v>896</v>
      </c>
      <c r="E474" s="15" t="s">
        <v>197</v>
      </c>
    </row>
    <row r="475" spans="1:5" x14ac:dyDescent="0.45">
      <c r="A475" s="11">
        <v>473</v>
      </c>
      <c r="B475" s="12" t="s">
        <v>935</v>
      </c>
      <c r="C475" s="13" t="s">
        <v>936</v>
      </c>
      <c r="D475" s="14" t="s">
        <v>896</v>
      </c>
      <c r="E475" s="15" t="s">
        <v>197</v>
      </c>
    </row>
    <row r="476" spans="1:5" x14ac:dyDescent="0.45">
      <c r="A476" s="11">
        <v>474</v>
      </c>
      <c r="B476" s="12" t="s">
        <v>937</v>
      </c>
      <c r="C476" s="13" t="s">
        <v>938</v>
      </c>
      <c r="D476" s="14" t="s">
        <v>896</v>
      </c>
      <c r="E476" s="15" t="s">
        <v>197</v>
      </c>
    </row>
    <row r="477" spans="1:5" x14ac:dyDescent="0.45">
      <c r="A477" s="11">
        <v>475</v>
      </c>
      <c r="B477" s="12" t="s">
        <v>939</v>
      </c>
      <c r="C477" s="13" t="s">
        <v>940</v>
      </c>
      <c r="D477" s="14" t="s">
        <v>896</v>
      </c>
      <c r="E477" s="15" t="s">
        <v>197</v>
      </c>
    </row>
    <row r="478" spans="1:5" x14ac:dyDescent="0.45">
      <c r="A478" s="11">
        <v>476</v>
      </c>
      <c r="B478" s="12" t="s">
        <v>941</v>
      </c>
      <c r="C478" s="13" t="s">
        <v>942</v>
      </c>
      <c r="D478" s="14" t="s">
        <v>896</v>
      </c>
      <c r="E478" s="15" t="s">
        <v>197</v>
      </c>
    </row>
    <row r="479" spans="1:5" x14ac:dyDescent="0.45">
      <c r="A479" s="11">
        <v>477</v>
      </c>
      <c r="B479" s="12" t="s">
        <v>943</v>
      </c>
      <c r="C479" s="13" t="s">
        <v>944</v>
      </c>
      <c r="D479" s="14" t="s">
        <v>896</v>
      </c>
      <c r="E479" s="15" t="s">
        <v>197</v>
      </c>
    </row>
    <row r="480" spans="1:5" x14ac:dyDescent="0.45">
      <c r="A480" s="11">
        <v>478</v>
      </c>
      <c r="B480" s="12" t="s">
        <v>945</v>
      </c>
      <c r="C480" s="13" t="s">
        <v>946</v>
      </c>
      <c r="D480" s="14" t="s">
        <v>896</v>
      </c>
      <c r="E480" s="15" t="s">
        <v>197</v>
      </c>
    </row>
    <row r="481" spans="1:5" x14ac:dyDescent="0.45">
      <c r="A481" s="11">
        <v>479</v>
      </c>
      <c r="B481" s="12" t="s">
        <v>947</v>
      </c>
      <c r="C481" s="13" t="s">
        <v>948</v>
      </c>
      <c r="D481" s="14" t="s">
        <v>896</v>
      </c>
      <c r="E481" s="15" t="s">
        <v>197</v>
      </c>
    </row>
    <row r="482" spans="1:5" x14ac:dyDescent="0.45">
      <c r="A482" s="11">
        <v>480</v>
      </c>
      <c r="B482" s="12" t="s">
        <v>949</v>
      </c>
      <c r="C482" s="13" t="s">
        <v>950</v>
      </c>
      <c r="D482" s="14" t="s">
        <v>896</v>
      </c>
      <c r="E482" s="15" t="s">
        <v>197</v>
      </c>
    </row>
    <row r="483" spans="1:5" x14ac:dyDescent="0.45">
      <c r="A483" s="11">
        <v>481</v>
      </c>
      <c r="B483" s="12" t="s">
        <v>951</v>
      </c>
      <c r="C483" s="13" t="s">
        <v>952</v>
      </c>
      <c r="D483" s="14" t="s">
        <v>896</v>
      </c>
      <c r="E483" s="15" t="s">
        <v>197</v>
      </c>
    </row>
    <row r="484" spans="1:5" x14ac:dyDescent="0.45">
      <c r="A484" s="11">
        <v>482</v>
      </c>
      <c r="B484" s="12" t="s">
        <v>953</v>
      </c>
      <c r="C484" s="13" t="s">
        <v>954</v>
      </c>
      <c r="D484" s="14" t="s">
        <v>896</v>
      </c>
      <c r="E484" s="15" t="s">
        <v>197</v>
      </c>
    </row>
    <row r="485" spans="1:5" x14ac:dyDescent="0.45">
      <c r="A485" s="11">
        <v>483</v>
      </c>
      <c r="B485" s="12" t="s">
        <v>955</v>
      </c>
      <c r="C485" s="13" t="s">
        <v>956</v>
      </c>
      <c r="D485" s="14" t="s">
        <v>896</v>
      </c>
      <c r="E485" s="15" t="s">
        <v>197</v>
      </c>
    </row>
    <row r="486" spans="1:5" x14ac:dyDescent="0.45">
      <c r="A486" s="11">
        <v>484</v>
      </c>
      <c r="B486" s="12" t="s">
        <v>957</v>
      </c>
      <c r="C486" s="13" t="s">
        <v>958</v>
      </c>
      <c r="D486" s="14" t="s">
        <v>896</v>
      </c>
      <c r="E486" s="15" t="s">
        <v>197</v>
      </c>
    </row>
    <row r="487" spans="1:5" x14ac:dyDescent="0.45">
      <c r="A487" s="11">
        <v>485</v>
      </c>
      <c r="B487" s="12" t="s">
        <v>959</v>
      </c>
      <c r="C487" s="13" t="s">
        <v>960</v>
      </c>
      <c r="D487" s="14" t="s">
        <v>896</v>
      </c>
      <c r="E487" s="15" t="s">
        <v>197</v>
      </c>
    </row>
    <row r="488" spans="1:5" x14ac:dyDescent="0.45">
      <c r="A488" s="11">
        <v>486</v>
      </c>
      <c r="B488" s="12" t="s">
        <v>961</v>
      </c>
      <c r="C488" s="13" t="s">
        <v>962</v>
      </c>
      <c r="D488" s="14" t="s">
        <v>896</v>
      </c>
      <c r="E488" s="15" t="s">
        <v>197</v>
      </c>
    </row>
    <row r="489" spans="1:5" x14ac:dyDescent="0.45">
      <c r="A489" s="11">
        <v>487</v>
      </c>
      <c r="B489" s="12" t="s">
        <v>963</v>
      </c>
      <c r="C489" s="13" t="s">
        <v>964</v>
      </c>
      <c r="D489" s="14" t="s">
        <v>896</v>
      </c>
      <c r="E489" s="15" t="s">
        <v>197</v>
      </c>
    </row>
    <row r="490" spans="1:5" x14ac:dyDescent="0.45">
      <c r="A490" s="11">
        <v>488</v>
      </c>
      <c r="B490" s="12" t="s">
        <v>965</v>
      </c>
      <c r="C490" s="13" t="s">
        <v>966</v>
      </c>
      <c r="D490" s="14" t="s">
        <v>896</v>
      </c>
      <c r="E490" s="15" t="s">
        <v>197</v>
      </c>
    </row>
    <row r="491" spans="1:5" x14ac:dyDescent="0.45">
      <c r="A491" s="11">
        <v>489</v>
      </c>
      <c r="B491" s="12" t="s">
        <v>967</v>
      </c>
      <c r="C491" s="13" t="s">
        <v>968</v>
      </c>
      <c r="D491" s="14" t="s">
        <v>896</v>
      </c>
      <c r="E491" s="15" t="s">
        <v>197</v>
      </c>
    </row>
    <row r="492" spans="1:5" x14ac:dyDescent="0.45">
      <c r="A492" s="11">
        <v>490</v>
      </c>
      <c r="B492" s="12" t="s">
        <v>969</v>
      </c>
      <c r="C492" s="13" t="s">
        <v>970</v>
      </c>
      <c r="D492" s="14" t="s">
        <v>896</v>
      </c>
      <c r="E492" s="15" t="s">
        <v>197</v>
      </c>
    </row>
    <row r="493" spans="1:5" x14ac:dyDescent="0.45">
      <c r="A493" s="11">
        <v>491</v>
      </c>
      <c r="B493" s="12" t="s">
        <v>971</v>
      </c>
      <c r="C493" s="13" t="s">
        <v>972</v>
      </c>
      <c r="D493" s="14" t="s">
        <v>896</v>
      </c>
      <c r="E493" s="15" t="s">
        <v>197</v>
      </c>
    </row>
    <row r="494" spans="1:5" x14ac:dyDescent="0.45">
      <c r="A494" s="11">
        <v>492</v>
      </c>
      <c r="B494" s="12" t="s">
        <v>973</v>
      </c>
      <c r="C494" s="13" t="s">
        <v>974</v>
      </c>
      <c r="D494" s="14" t="s">
        <v>896</v>
      </c>
      <c r="E494" s="15" t="s">
        <v>197</v>
      </c>
    </row>
    <row r="495" spans="1:5" x14ac:dyDescent="0.45">
      <c r="A495" s="11">
        <v>493</v>
      </c>
      <c r="B495" s="12" t="s">
        <v>975</v>
      </c>
      <c r="C495" s="13" t="s">
        <v>976</v>
      </c>
      <c r="D495" s="14" t="s">
        <v>896</v>
      </c>
      <c r="E495" s="15" t="s">
        <v>197</v>
      </c>
    </row>
    <row r="496" spans="1:5" x14ac:dyDescent="0.45">
      <c r="A496" s="11">
        <v>494</v>
      </c>
      <c r="B496" s="12" t="s">
        <v>977</v>
      </c>
      <c r="C496" s="13" t="s">
        <v>978</v>
      </c>
      <c r="D496" s="14" t="s">
        <v>896</v>
      </c>
      <c r="E496" s="15" t="s">
        <v>197</v>
      </c>
    </row>
    <row r="497" spans="1:5" x14ac:dyDescent="0.45">
      <c r="A497" s="11">
        <v>495</v>
      </c>
      <c r="B497" s="12" t="s">
        <v>979</v>
      </c>
      <c r="C497" s="13" t="s">
        <v>980</v>
      </c>
      <c r="D497" s="14" t="s">
        <v>896</v>
      </c>
      <c r="E497" s="15" t="s">
        <v>197</v>
      </c>
    </row>
    <row r="498" spans="1:5" x14ac:dyDescent="0.45">
      <c r="A498" s="11">
        <v>496</v>
      </c>
      <c r="B498" s="12" t="s">
        <v>981</v>
      </c>
      <c r="C498" s="13" t="s">
        <v>982</v>
      </c>
      <c r="D498" s="14" t="s">
        <v>896</v>
      </c>
      <c r="E498" s="15" t="s">
        <v>197</v>
      </c>
    </row>
    <row r="499" spans="1:5" x14ac:dyDescent="0.45">
      <c r="A499" s="11">
        <v>497</v>
      </c>
      <c r="B499" s="12" t="s">
        <v>983</v>
      </c>
      <c r="C499" s="13" t="s">
        <v>984</v>
      </c>
      <c r="D499" s="14" t="s">
        <v>896</v>
      </c>
      <c r="E499" s="15" t="s">
        <v>197</v>
      </c>
    </row>
    <row r="500" spans="1:5" x14ac:dyDescent="0.45">
      <c r="A500" s="11">
        <v>498</v>
      </c>
      <c r="B500" s="12" t="s">
        <v>985</v>
      </c>
      <c r="C500" s="13" t="s">
        <v>986</v>
      </c>
      <c r="D500" s="14" t="s">
        <v>896</v>
      </c>
      <c r="E500" s="15" t="s">
        <v>197</v>
      </c>
    </row>
    <row r="501" spans="1:5" x14ac:dyDescent="0.45">
      <c r="A501" s="11">
        <v>499</v>
      </c>
      <c r="B501" s="12" t="s">
        <v>987</v>
      </c>
      <c r="C501" s="13" t="s">
        <v>988</v>
      </c>
      <c r="D501" s="14" t="s">
        <v>896</v>
      </c>
      <c r="E501" s="15" t="s">
        <v>197</v>
      </c>
    </row>
    <row r="502" spans="1:5" x14ac:dyDescent="0.45">
      <c r="A502" s="11">
        <v>500</v>
      </c>
      <c r="B502" s="12" t="s">
        <v>989</v>
      </c>
      <c r="C502" s="13" t="s">
        <v>990</v>
      </c>
      <c r="D502" s="14" t="s">
        <v>896</v>
      </c>
      <c r="E502" s="15" t="s">
        <v>197</v>
      </c>
    </row>
    <row r="503" spans="1:5" x14ac:dyDescent="0.45">
      <c r="A503" s="11">
        <v>501</v>
      </c>
      <c r="B503" s="12" t="s">
        <v>991</v>
      </c>
      <c r="C503" s="13" t="s">
        <v>992</v>
      </c>
      <c r="D503" s="14" t="s">
        <v>896</v>
      </c>
      <c r="E503" s="15" t="s">
        <v>197</v>
      </c>
    </row>
    <row r="504" spans="1:5" x14ac:dyDescent="0.45">
      <c r="A504" s="11">
        <v>502</v>
      </c>
      <c r="B504" s="12" t="s">
        <v>993</v>
      </c>
      <c r="C504" s="13" t="s">
        <v>994</v>
      </c>
      <c r="D504" s="14" t="s">
        <v>896</v>
      </c>
      <c r="E504" s="15" t="s">
        <v>197</v>
      </c>
    </row>
    <row r="505" spans="1:5" x14ac:dyDescent="0.45">
      <c r="A505" s="11">
        <v>503</v>
      </c>
      <c r="B505" s="12" t="s">
        <v>995</v>
      </c>
      <c r="C505" s="13" t="s">
        <v>996</v>
      </c>
      <c r="D505" s="14" t="s">
        <v>896</v>
      </c>
      <c r="E505" s="15" t="s">
        <v>197</v>
      </c>
    </row>
    <row r="506" spans="1:5" x14ac:dyDescent="0.45">
      <c r="A506" s="11">
        <v>504</v>
      </c>
      <c r="B506" s="12" t="s">
        <v>997</v>
      </c>
      <c r="C506" s="13" t="s">
        <v>998</v>
      </c>
      <c r="D506" s="14" t="s">
        <v>896</v>
      </c>
      <c r="E506" s="15" t="s">
        <v>197</v>
      </c>
    </row>
    <row r="507" spans="1:5" x14ac:dyDescent="0.45">
      <c r="A507" s="11">
        <v>505</v>
      </c>
      <c r="B507" s="12" t="s">
        <v>145</v>
      </c>
      <c r="C507" s="13" t="s">
        <v>146</v>
      </c>
      <c r="D507" s="14" t="s">
        <v>896</v>
      </c>
      <c r="E507" s="15" t="s">
        <v>197</v>
      </c>
    </row>
    <row r="508" spans="1:5" x14ac:dyDescent="0.45">
      <c r="A508" s="11">
        <v>506</v>
      </c>
      <c r="B508" s="12" t="s">
        <v>999</v>
      </c>
      <c r="C508" s="13" t="s">
        <v>1000</v>
      </c>
      <c r="D508" s="14" t="s">
        <v>896</v>
      </c>
      <c r="E508" s="15" t="s">
        <v>197</v>
      </c>
    </row>
    <row r="509" spans="1:5" x14ac:dyDescent="0.45">
      <c r="A509" s="11">
        <v>507</v>
      </c>
      <c r="B509" s="12" t="s">
        <v>1001</v>
      </c>
      <c r="C509" s="13" t="s">
        <v>1002</v>
      </c>
      <c r="D509" s="14" t="s">
        <v>896</v>
      </c>
      <c r="E509" s="50" t="s">
        <v>2317</v>
      </c>
    </row>
    <row r="510" spans="1:5" x14ac:dyDescent="0.45">
      <c r="A510" s="11">
        <v>508</v>
      </c>
      <c r="B510" s="12" t="s">
        <v>1003</v>
      </c>
      <c r="C510" s="13" t="s">
        <v>1004</v>
      </c>
      <c r="D510" s="14" t="s">
        <v>896</v>
      </c>
      <c r="E510" s="50" t="s">
        <v>2317</v>
      </c>
    </row>
    <row r="511" spans="1:5" x14ac:dyDescent="0.45">
      <c r="A511" s="11">
        <v>509</v>
      </c>
      <c r="B511" s="12" t="s">
        <v>1005</v>
      </c>
      <c r="C511" s="13" t="s">
        <v>1006</v>
      </c>
      <c r="D511" s="14" t="s">
        <v>896</v>
      </c>
      <c r="E511" s="50" t="s">
        <v>2317</v>
      </c>
    </row>
    <row r="512" spans="1:5" x14ac:dyDescent="0.45">
      <c r="A512" s="11">
        <v>510</v>
      </c>
      <c r="B512" s="12" t="s">
        <v>1007</v>
      </c>
      <c r="C512" s="13" t="s">
        <v>1008</v>
      </c>
      <c r="D512" s="14" t="s">
        <v>896</v>
      </c>
      <c r="E512" s="50" t="s">
        <v>2317</v>
      </c>
    </row>
    <row r="513" spans="1:6" x14ac:dyDescent="0.45">
      <c r="A513" s="11">
        <v>511</v>
      </c>
      <c r="B513" s="12" t="s">
        <v>1009</v>
      </c>
      <c r="C513" s="13" t="s">
        <v>1010</v>
      </c>
      <c r="D513" s="14" t="s">
        <v>896</v>
      </c>
      <c r="E513" s="50" t="s">
        <v>2317</v>
      </c>
    </row>
    <row r="514" spans="1:6" x14ac:dyDescent="0.45">
      <c r="A514" s="11">
        <v>512</v>
      </c>
      <c r="B514" s="12" t="s">
        <v>1011</v>
      </c>
      <c r="C514" s="13" t="s">
        <v>1012</v>
      </c>
      <c r="D514" s="14" t="s">
        <v>896</v>
      </c>
      <c r="E514" s="50" t="s">
        <v>2317</v>
      </c>
    </row>
    <row r="515" spans="1:6" x14ac:dyDescent="0.45">
      <c r="A515" s="11">
        <v>513</v>
      </c>
      <c r="B515" s="12" t="s">
        <v>1013</v>
      </c>
      <c r="C515" s="13" t="s">
        <v>1014</v>
      </c>
      <c r="D515" s="14" t="s">
        <v>896</v>
      </c>
      <c r="E515" s="50" t="s">
        <v>2317</v>
      </c>
    </row>
    <row r="516" spans="1:6" x14ac:dyDescent="0.45">
      <c r="A516" s="11">
        <v>514</v>
      </c>
      <c r="B516" s="12" t="s">
        <v>1015</v>
      </c>
      <c r="C516" s="13" t="s">
        <v>1016</v>
      </c>
      <c r="D516" s="14" t="s">
        <v>896</v>
      </c>
      <c r="E516" s="50" t="s">
        <v>2317</v>
      </c>
    </row>
    <row r="517" spans="1:6" x14ac:dyDescent="0.45">
      <c r="A517" s="11">
        <v>515</v>
      </c>
      <c r="B517" s="12" t="s">
        <v>1017</v>
      </c>
      <c r="C517" s="13" t="s">
        <v>1018</v>
      </c>
      <c r="D517" s="14" t="s">
        <v>896</v>
      </c>
      <c r="E517" s="50" t="s">
        <v>2317</v>
      </c>
    </row>
    <row r="518" spans="1:6" x14ac:dyDescent="0.45">
      <c r="A518" s="11">
        <v>516</v>
      </c>
      <c r="B518" s="12" t="s">
        <v>1019</v>
      </c>
      <c r="C518" s="13" t="s">
        <v>1020</v>
      </c>
      <c r="D518" s="14" t="s">
        <v>896</v>
      </c>
      <c r="E518" s="50" t="s">
        <v>2317</v>
      </c>
    </row>
    <row r="519" spans="1:6" x14ac:dyDescent="0.45">
      <c r="A519" s="11">
        <v>517</v>
      </c>
      <c r="B519" s="12" t="s">
        <v>1021</v>
      </c>
      <c r="C519" s="13" t="s">
        <v>1022</v>
      </c>
      <c r="D519" s="14" t="s">
        <v>896</v>
      </c>
      <c r="E519" s="50" t="s">
        <v>2317</v>
      </c>
    </row>
    <row r="520" spans="1:6" x14ac:dyDescent="0.45">
      <c r="A520" s="11">
        <v>518</v>
      </c>
      <c r="B520" s="12" t="s">
        <v>1023</v>
      </c>
      <c r="C520" s="13" t="s">
        <v>1024</v>
      </c>
      <c r="D520" s="14" t="s">
        <v>896</v>
      </c>
      <c r="E520" s="50" t="s">
        <v>2317</v>
      </c>
    </row>
    <row r="521" spans="1:6" x14ac:dyDescent="0.45">
      <c r="A521" s="11">
        <v>519</v>
      </c>
      <c r="B521" s="12" t="s">
        <v>1025</v>
      </c>
      <c r="C521" s="13" t="s">
        <v>1026</v>
      </c>
      <c r="D521" s="14" t="s">
        <v>896</v>
      </c>
      <c r="E521" s="50" t="s">
        <v>2317</v>
      </c>
    </row>
    <row r="522" spans="1:6" x14ac:dyDescent="0.45">
      <c r="A522" s="11">
        <v>520</v>
      </c>
      <c r="B522" s="12" t="s">
        <v>1027</v>
      </c>
      <c r="C522" s="13" t="s">
        <v>1028</v>
      </c>
      <c r="D522" s="14" t="s">
        <v>896</v>
      </c>
      <c r="E522" s="50" t="s">
        <v>2317</v>
      </c>
    </row>
    <row r="523" spans="1:6" x14ac:dyDescent="0.45">
      <c r="A523" s="16">
        <v>521</v>
      </c>
      <c r="B523" s="17" t="s">
        <v>1029</v>
      </c>
      <c r="C523" s="18" t="s">
        <v>1030</v>
      </c>
      <c r="D523" s="19" t="s">
        <v>896</v>
      </c>
      <c r="E523" s="20" t="s">
        <v>379</v>
      </c>
    </row>
    <row r="524" spans="1:6" x14ac:dyDescent="0.45">
      <c r="A524" s="16">
        <v>522</v>
      </c>
      <c r="B524" s="17" t="s">
        <v>1031</v>
      </c>
      <c r="C524" s="18" t="s">
        <v>1032</v>
      </c>
      <c r="D524" s="19" t="s">
        <v>896</v>
      </c>
      <c r="E524" s="20" t="s">
        <v>379</v>
      </c>
    </row>
    <row r="525" spans="1:6" ht="23.25" customHeight="1" x14ac:dyDescent="0.45">
      <c r="A525" s="6">
        <v>523</v>
      </c>
      <c r="B525" s="7" t="s">
        <v>1033</v>
      </c>
      <c r="C525" s="36" t="s">
        <v>1034</v>
      </c>
      <c r="D525" s="9" t="s">
        <v>1035</v>
      </c>
      <c r="E525" s="10" t="s">
        <v>10</v>
      </c>
      <c r="F525" t="s">
        <v>25</v>
      </c>
    </row>
    <row r="526" spans="1:6" x14ac:dyDescent="0.45">
      <c r="A526" s="6">
        <v>524</v>
      </c>
      <c r="B526" s="7" t="s">
        <v>1036</v>
      </c>
      <c r="C526" s="36" t="s">
        <v>1037</v>
      </c>
      <c r="D526" s="9" t="s">
        <v>1035</v>
      </c>
      <c r="E526" s="10" t="s">
        <v>10</v>
      </c>
      <c r="F526" t="s">
        <v>25</v>
      </c>
    </row>
    <row r="527" spans="1:6" ht="23.25" customHeight="1" x14ac:dyDescent="0.45">
      <c r="A527" s="11">
        <v>525</v>
      </c>
      <c r="B527" s="12" t="s">
        <v>1038</v>
      </c>
      <c r="C527" s="37" t="s">
        <v>1039</v>
      </c>
      <c r="D527" s="14" t="s">
        <v>1035</v>
      </c>
      <c r="E527" s="15" t="s">
        <v>197</v>
      </c>
    </row>
    <row r="528" spans="1:6" ht="23.25" customHeight="1" x14ac:dyDescent="0.45">
      <c r="A528" s="11">
        <v>526</v>
      </c>
      <c r="B528" s="12" t="s">
        <v>1040</v>
      </c>
      <c r="C528" s="37" t="s">
        <v>1041</v>
      </c>
      <c r="D528" s="14" t="s">
        <v>1035</v>
      </c>
      <c r="E528" s="15" t="s">
        <v>197</v>
      </c>
    </row>
    <row r="529" spans="1:5" ht="23.25" customHeight="1" x14ac:dyDescent="0.45">
      <c r="A529" s="11">
        <v>527</v>
      </c>
      <c r="B529" s="12" t="s">
        <v>1042</v>
      </c>
      <c r="C529" s="37" t="s">
        <v>1043</v>
      </c>
      <c r="D529" s="14" t="s">
        <v>1035</v>
      </c>
      <c r="E529" s="15" t="s">
        <v>197</v>
      </c>
    </row>
    <row r="530" spans="1:5" x14ac:dyDescent="0.45">
      <c r="A530" s="11">
        <v>528</v>
      </c>
      <c r="B530" s="12" t="s">
        <v>1044</v>
      </c>
      <c r="C530" s="37" t="s">
        <v>1045</v>
      </c>
      <c r="D530" s="14" t="s">
        <v>1035</v>
      </c>
      <c r="E530" s="15" t="s">
        <v>197</v>
      </c>
    </row>
    <row r="531" spans="1:5" ht="23.25" customHeight="1" x14ac:dyDescent="0.45">
      <c r="A531" s="11">
        <v>529</v>
      </c>
      <c r="B531" s="12" t="s">
        <v>1046</v>
      </c>
      <c r="C531" s="37" t="s">
        <v>1047</v>
      </c>
      <c r="D531" s="14" t="s">
        <v>1035</v>
      </c>
      <c r="E531" s="15" t="s">
        <v>197</v>
      </c>
    </row>
    <row r="532" spans="1:5" ht="23.25" customHeight="1" x14ac:dyDescent="0.45">
      <c r="A532" s="11">
        <v>530</v>
      </c>
      <c r="B532" s="12" t="s">
        <v>1048</v>
      </c>
      <c r="C532" s="37" t="s">
        <v>1049</v>
      </c>
      <c r="D532" s="14" t="s">
        <v>1035</v>
      </c>
      <c r="E532" s="15" t="s">
        <v>197</v>
      </c>
    </row>
    <row r="533" spans="1:5" x14ac:dyDescent="0.45">
      <c r="A533" s="11">
        <v>531</v>
      </c>
      <c r="B533" s="12" t="s">
        <v>1050</v>
      </c>
      <c r="C533" s="37" t="s">
        <v>1051</v>
      </c>
      <c r="D533" s="14" t="s">
        <v>1035</v>
      </c>
      <c r="E533" s="15" t="s">
        <v>197</v>
      </c>
    </row>
    <row r="534" spans="1:5" x14ac:dyDescent="0.45">
      <c r="A534" s="11">
        <v>532</v>
      </c>
      <c r="B534" s="12" t="s">
        <v>1052</v>
      </c>
      <c r="C534" s="37" t="s">
        <v>1053</v>
      </c>
      <c r="D534" s="14" t="s">
        <v>1035</v>
      </c>
      <c r="E534" s="15" t="s">
        <v>197</v>
      </c>
    </row>
    <row r="535" spans="1:5" ht="23.25" customHeight="1" x14ac:dyDescent="0.45">
      <c r="A535" s="11">
        <v>533</v>
      </c>
      <c r="B535" s="12" t="s">
        <v>1054</v>
      </c>
      <c r="C535" s="37" t="s">
        <v>1055</v>
      </c>
      <c r="D535" s="14" t="s">
        <v>1035</v>
      </c>
      <c r="E535" s="15" t="s">
        <v>197</v>
      </c>
    </row>
    <row r="536" spans="1:5" ht="23.25" customHeight="1" x14ac:dyDescent="0.45">
      <c r="A536" s="11">
        <v>534</v>
      </c>
      <c r="B536" s="12" t="s">
        <v>1056</v>
      </c>
      <c r="C536" s="37" t="s">
        <v>1057</v>
      </c>
      <c r="D536" s="14" t="s">
        <v>1035</v>
      </c>
      <c r="E536" s="15" t="s">
        <v>197</v>
      </c>
    </row>
    <row r="537" spans="1:5" ht="58.15" customHeight="1" x14ac:dyDescent="0.45">
      <c r="A537" s="11">
        <v>535</v>
      </c>
      <c r="B537" s="12" t="s">
        <v>2329</v>
      </c>
      <c r="C537" s="37" t="s">
        <v>1058</v>
      </c>
      <c r="D537" s="14" t="s">
        <v>1035</v>
      </c>
      <c r="E537" s="15" t="s">
        <v>197</v>
      </c>
    </row>
    <row r="538" spans="1:5" x14ac:dyDescent="0.45">
      <c r="A538" s="11">
        <v>536</v>
      </c>
      <c r="B538" s="12" t="s">
        <v>1059</v>
      </c>
      <c r="C538" s="37" t="s">
        <v>1060</v>
      </c>
      <c r="D538" s="14" t="s">
        <v>1035</v>
      </c>
      <c r="E538" s="15" t="s">
        <v>197</v>
      </c>
    </row>
    <row r="539" spans="1:5" ht="23.25" customHeight="1" x14ac:dyDescent="0.45">
      <c r="A539" s="11">
        <v>537</v>
      </c>
      <c r="B539" s="12" t="s">
        <v>1061</v>
      </c>
      <c r="C539" s="37" t="s">
        <v>1062</v>
      </c>
      <c r="D539" s="14" t="s">
        <v>1035</v>
      </c>
      <c r="E539" s="50" t="s">
        <v>2317</v>
      </c>
    </row>
    <row r="540" spans="1:5" ht="23.25" customHeight="1" x14ac:dyDescent="0.45">
      <c r="A540" s="11">
        <v>538</v>
      </c>
      <c r="B540" s="53" t="s">
        <v>1063</v>
      </c>
      <c r="C540" s="37" t="s">
        <v>1064</v>
      </c>
      <c r="D540" s="14" t="s">
        <v>1035</v>
      </c>
      <c r="E540" s="50" t="s">
        <v>2317</v>
      </c>
    </row>
    <row r="541" spans="1:5" ht="46.5" customHeight="1" x14ac:dyDescent="0.45">
      <c r="A541" s="11">
        <v>539</v>
      </c>
      <c r="B541" s="53" t="s">
        <v>1065</v>
      </c>
      <c r="C541" s="37" t="s">
        <v>1066</v>
      </c>
      <c r="D541" s="14" t="s">
        <v>1035</v>
      </c>
      <c r="E541" s="50" t="s">
        <v>2317</v>
      </c>
    </row>
    <row r="542" spans="1:5" ht="23.25" customHeight="1" x14ac:dyDescent="0.45">
      <c r="A542" s="11">
        <v>540</v>
      </c>
      <c r="B542" s="12" t="s">
        <v>1067</v>
      </c>
      <c r="C542" s="37" t="s">
        <v>1068</v>
      </c>
      <c r="D542" s="14" t="s">
        <v>1035</v>
      </c>
      <c r="E542" s="15" t="s">
        <v>197</v>
      </c>
    </row>
    <row r="543" spans="1:5" x14ac:dyDescent="0.45">
      <c r="A543" s="11">
        <v>541</v>
      </c>
      <c r="B543" s="12" t="s">
        <v>1069</v>
      </c>
      <c r="C543" s="37" t="s">
        <v>1070</v>
      </c>
      <c r="D543" s="14" t="s">
        <v>1035</v>
      </c>
      <c r="E543" s="15" t="s">
        <v>197</v>
      </c>
    </row>
    <row r="544" spans="1:5" x14ac:dyDescent="0.45">
      <c r="A544" s="11">
        <v>542</v>
      </c>
      <c r="B544" s="12" t="s">
        <v>1071</v>
      </c>
      <c r="C544" s="37" t="s">
        <v>1072</v>
      </c>
      <c r="D544" s="14" t="s">
        <v>1035</v>
      </c>
      <c r="E544" s="15" t="s">
        <v>197</v>
      </c>
    </row>
    <row r="545" spans="1:5" ht="34.9" customHeight="1" x14ac:dyDescent="0.45">
      <c r="A545" s="11">
        <v>543</v>
      </c>
      <c r="B545" s="53" t="s">
        <v>1073</v>
      </c>
      <c r="C545" s="37" t="s">
        <v>1074</v>
      </c>
      <c r="D545" s="14" t="s">
        <v>1035</v>
      </c>
      <c r="E545" s="50" t="s">
        <v>2317</v>
      </c>
    </row>
    <row r="546" spans="1:5" ht="34.9" customHeight="1" x14ac:dyDescent="0.45">
      <c r="A546" s="11">
        <v>544</v>
      </c>
      <c r="B546" s="12" t="s">
        <v>1075</v>
      </c>
      <c r="C546" s="37" t="s">
        <v>1076</v>
      </c>
      <c r="D546" s="14" t="s">
        <v>1035</v>
      </c>
      <c r="E546" s="50" t="s">
        <v>2317</v>
      </c>
    </row>
    <row r="547" spans="1:5" x14ac:dyDescent="0.45">
      <c r="A547" s="11">
        <v>545</v>
      </c>
      <c r="B547" s="12" t="s">
        <v>1077</v>
      </c>
      <c r="C547" s="13"/>
      <c r="D547" s="14" t="s">
        <v>1035</v>
      </c>
      <c r="E547" s="50" t="s">
        <v>2317</v>
      </c>
    </row>
    <row r="548" spans="1:5" x14ac:dyDescent="0.45">
      <c r="A548" s="11">
        <v>546</v>
      </c>
      <c r="B548" s="12" t="s">
        <v>1078</v>
      </c>
      <c r="C548" s="37" t="s">
        <v>1079</v>
      </c>
      <c r="D548" s="14" t="s">
        <v>1035</v>
      </c>
      <c r="E548" s="50" t="s">
        <v>2317</v>
      </c>
    </row>
    <row r="549" spans="1:5" x14ac:dyDescent="0.45">
      <c r="A549" s="11">
        <v>547</v>
      </c>
      <c r="B549" s="12" t="s">
        <v>1080</v>
      </c>
      <c r="C549" s="37" t="s">
        <v>1081</v>
      </c>
      <c r="D549" s="14" t="s">
        <v>1035</v>
      </c>
      <c r="E549" s="50" t="s">
        <v>2317</v>
      </c>
    </row>
    <row r="550" spans="1:5" x14ac:dyDescent="0.45">
      <c r="A550" s="11">
        <v>548</v>
      </c>
      <c r="B550" s="12" t="s">
        <v>1082</v>
      </c>
      <c r="C550" s="37" t="s">
        <v>1072</v>
      </c>
      <c r="D550" s="14" t="s">
        <v>1035</v>
      </c>
      <c r="E550" s="50" t="s">
        <v>2317</v>
      </c>
    </row>
    <row r="551" spans="1:5" x14ac:dyDescent="0.45">
      <c r="A551" s="11">
        <v>549</v>
      </c>
      <c r="B551" s="12" t="s">
        <v>1083</v>
      </c>
      <c r="C551" s="37" t="s">
        <v>1072</v>
      </c>
      <c r="D551" s="14" t="s">
        <v>1035</v>
      </c>
      <c r="E551" s="50" t="s">
        <v>2317</v>
      </c>
    </row>
    <row r="552" spans="1:5" x14ac:dyDescent="0.45">
      <c r="A552" s="11">
        <v>550</v>
      </c>
      <c r="B552" s="12" t="s">
        <v>1084</v>
      </c>
      <c r="C552" s="37" t="s">
        <v>1072</v>
      </c>
      <c r="D552" s="14" t="s">
        <v>1035</v>
      </c>
      <c r="E552" s="50" t="s">
        <v>2317</v>
      </c>
    </row>
    <row r="553" spans="1:5" ht="46.5" customHeight="1" x14ac:dyDescent="0.45">
      <c r="A553" s="11">
        <v>551</v>
      </c>
      <c r="B553" s="12" t="s">
        <v>1085</v>
      </c>
      <c r="C553" s="37" t="s">
        <v>1086</v>
      </c>
      <c r="D553" s="14" t="s">
        <v>1035</v>
      </c>
      <c r="E553" s="50" t="s">
        <v>2317</v>
      </c>
    </row>
    <row r="554" spans="1:5" ht="46.5" customHeight="1" x14ac:dyDescent="0.45">
      <c r="A554" s="11">
        <v>552</v>
      </c>
      <c r="B554" s="12" t="s">
        <v>1087</v>
      </c>
      <c r="C554" s="37" t="s">
        <v>1088</v>
      </c>
      <c r="D554" s="14" t="s">
        <v>1035</v>
      </c>
      <c r="E554" s="50" t="s">
        <v>2317</v>
      </c>
    </row>
    <row r="555" spans="1:5" ht="23.25" customHeight="1" x14ac:dyDescent="0.45">
      <c r="A555" s="11">
        <v>553</v>
      </c>
      <c r="B555" s="12" t="s">
        <v>1089</v>
      </c>
      <c r="C555" s="37" t="s">
        <v>1090</v>
      </c>
      <c r="D555" s="14" t="s">
        <v>1035</v>
      </c>
      <c r="E555" s="50" t="s">
        <v>2317</v>
      </c>
    </row>
    <row r="556" spans="1:5" ht="23.25" customHeight="1" x14ac:dyDescent="0.45">
      <c r="A556" s="11">
        <v>554</v>
      </c>
      <c r="B556" s="12" t="s">
        <v>1091</v>
      </c>
      <c r="C556" s="37" t="s">
        <v>1092</v>
      </c>
      <c r="D556" s="14" t="s">
        <v>1035</v>
      </c>
      <c r="E556" s="50" t="s">
        <v>2317</v>
      </c>
    </row>
    <row r="557" spans="1:5" ht="23.25" customHeight="1" x14ac:dyDescent="0.45">
      <c r="A557" s="11">
        <v>555</v>
      </c>
      <c r="B557" s="12" t="s">
        <v>1093</v>
      </c>
      <c r="C557" s="37" t="s">
        <v>1094</v>
      </c>
      <c r="D557" s="14" t="s">
        <v>1035</v>
      </c>
      <c r="E557" s="50" t="s">
        <v>2317</v>
      </c>
    </row>
    <row r="558" spans="1:5" ht="23.25" customHeight="1" x14ac:dyDescent="0.45">
      <c r="A558" s="11">
        <v>556</v>
      </c>
      <c r="B558" s="12" t="s">
        <v>1095</v>
      </c>
      <c r="C558" s="37" t="s">
        <v>1096</v>
      </c>
      <c r="D558" s="14" t="s">
        <v>1035</v>
      </c>
      <c r="E558" s="50" t="s">
        <v>2317</v>
      </c>
    </row>
    <row r="559" spans="1:5" ht="34.9" customHeight="1" x14ac:dyDescent="0.45">
      <c r="A559" s="11">
        <v>557</v>
      </c>
      <c r="B559" s="12" t="s">
        <v>1097</v>
      </c>
      <c r="C559" s="37" t="s">
        <v>1098</v>
      </c>
      <c r="D559" s="14" t="s">
        <v>1035</v>
      </c>
      <c r="E559" s="50" t="s">
        <v>2317</v>
      </c>
    </row>
    <row r="560" spans="1:5" ht="34.9" customHeight="1" x14ac:dyDescent="0.45">
      <c r="A560" s="11">
        <v>558</v>
      </c>
      <c r="B560" s="12" t="s">
        <v>1099</v>
      </c>
      <c r="C560" s="37" t="s">
        <v>1100</v>
      </c>
      <c r="D560" s="14" t="s">
        <v>1035</v>
      </c>
      <c r="E560" s="50" t="s">
        <v>2317</v>
      </c>
    </row>
    <row r="561" spans="1:5" ht="23.25" customHeight="1" x14ac:dyDescent="0.45">
      <c r="A561" s="11">
        <v>559</v>
      </c>
      <c r="B561" s="12" t="s">
        <v>1101</v>
      </c>
      <c r="C561" s="37" t="s">
        <v>1102</v>
      </c>
      <c r="D561" s="14" t="s">
        <v>1035</v>
      </c>
      <c r="E561" s="50" t="s">
        <v>2317</v>
      </c>
    </row>
    <row r="562" spans="1:5" ht="34.9" customHeight="1" x14ac:dyDescent="0.45">
      <c r="A562" s="11">
        <v>560</v>
      </c>
      <c r="B562" s="12" t="s">
        <v>1103</v>
      </c>
      <c r="C562" s="37" t="s">
        <v>1104</v>
      </c>
      <c r="D562" s="14" t="s">
        <v>1035</v>
      </c>
      <c r="E562" s="50" t="s">
        <v>2317</v>
      </c>
    </row>
    <row r="563" spans="1:5" ht="23.25" customHeight="1" x14ac:dyDescent="0.45">
      <c r="A563" s="11">
        <v>561</v>
      </c>
      <c r="B563" s="12" t="s">
        <v>1105</v>
      </c>
      <c r="C563" s="37" t="s">
        <v>1106</v>
      </c>
      <c r="D563" s="14" t="s">
        <v>1035</v>
      </c>
      <c r="E563" s="50" t="s">
        <v>2317</v>
      </c>
    </row>
    <row r="564" spans="1:5" ht="34.9" customHeight="1" x14ac:dyDescent="0.45">
      <c r="A564" s="11">
        <v>562</v>
      </c>
      <c r="B564" s="12" t="s">
        <v>1107</v>
      </c>
      <c r="C564" s="37" t="s">
        <v>1108</v>
      </c>
      <c r="D564" s="14" t="s">
        <v>1035</v>
      </c>
      <c r="E564" s="50" t="s">
        <v>2317</v>
      </c>
    </row>
    <row r="565" spans="1:5" ht="34.9" customHeight="1" x14ac:dyDescent="0.45">
      <c r="A565" s="11">
        <v>563</v>
      </c>
      <c r="B565" s="12" t="s">
        <v>1109</v>
      </c>
      <c r="C565" s="37" t="s">
        <v>1098</v>
      </c>
      <c r="D565" s="14" t="s">
        <v>1035</v>
      </c>
      <c r="E565" s="50" t="s">
        <v>2317</v>
      </c>
    </row>
    <row r="566" spans="1:5" ht="23.25" customHeight="1" x14ac:dyDescent="0.45">
      <c r="A566" s="11">
        <v>564</v>
      </c>
      <c r="B566" s="12" t="s">
        <v>1110</v>
      </c>
      <c r="C566" s="37" t="s">
        <v>1111</v>
      </c>
      <c r="D566" s="14" t="s">
        <v>1035</v>
      </c>
      <c r="E566" s="50" t="s">
        <v>2317</v>
      </c>
    </row>
    <row r="567" spans="1:5" ht="23.25" customHeight="1" x14ac:dyDescent="0.45">
      <c r="A567" s="11">
        <v>565</v>
      </c>
      <c r="B567" s="12" t="s">
        <v>1112</v>
      </c>
      <c r="C567" s="37" t="s">
        <v>1113</v>
      </c>
      <c r="D567" s="14" t="s">
        <v>1035</v>
      </c>
      <c r="E567" s="50" t="s">
        <v>2317</v>
      </c>
    </row>
    <row r="568" spans="1:5" ht="34.9" customHeight="1" x14ac:dyDescent="0.45">
      <c r="A568" s="11">
        <v>566</v>
      </c>
      <c r="B568" s="12" t="s">
        <v>1114</v>
      </c>
      <c r="C568" s="37" t="s">
        <v>1115</v>
      </c>
      <c r="D568" s="14" t="s">
        <v>1035</v>
      </c>
      <c r="E568" s="50" t="s">
        <v>2317</v>
      </c>
    </row>
    <row r="569" spans="1:5" ht="23.25" customHeight="1" x14ac:dyDescent="0.45">
      <c r="A569" s="11">
        <v>567</v>
      </c>
      <c r="B569" s="12" t="s">
        <v>1116</v>
      </c>
      <c r="C569" s="37" t="s">
        <v>1117</v>
      </c>
      <c r="D569" s="14" t="s">
        <v>1035</v>
      </c>
      <c r="E569" s="50" t="s">
        <v>2318</v>
      </c>
    </row>
    <row r="570" spans="1:5" ht="23.25" customHeight="1" x14ac:dyDescent="0.45">
      <c r="A570" s="11">
        <v>568</v>
      </c>
      <c r="B570" s="12" t="s">
        <v>1118</v>
      </c>
      <c r="C570" s="37" t="s">
        <v>1119</v>
      </c>
      <c r="D570" s="14" t="s">
        <v>1035</v>
      </c>
      <c r="E570" s="50" t="s">
        <v>2318</v>
      </c>
    </row>
    <row r="571" spans="1:5" ht="34.9" customHeight="1" x14ac:dyDescent="0.45">
      <c r="A571" s="11">
        <v>569</v>
      </c>
      <c r="B571" s="12" t="s">
        <v>1120</v>
      </c>
      <c r="C571" s="37" t="s">
        <v>1121</v>
      </c>
      <c r="D571" s="14" t="s">
        <v>1035</v>
      </c>
      <c r="E571" s="50" t="s">
        <v>2318</v>
      </c>
    </row>
    <row r="572" spans="1:5" ht="34.9" customHeight="1" x14ac:dyDescent="0.45">
      <c r="A572" s="11">
        <v>570</v>
      </c>
      <c r="B572" s="12" t="s">
        <v>1122</v>
      </c>
      <c r="C572" s="37" t="s">
        <v>1123</v>
      </c>
      <c r="D572" s="14" t="s">
        <v>1035</v>
      </c>
      <c r="E572" s="50" t="s">
        <v>2318</v>
      </c>
    </row>
    <row r="573" spans="1:5" x14ac:dyDescent="0.45">
      <c r="A573" s="11">
        <v>571</v>
      </c>
      <c r="B573" s="12" t="s">
        <v>1005</v>
      </c>
      <c r="C573" s="13" t="s">
        <v>1006</v>
      </c>
      <c r="D573" s="14" t="s">
        <v>1035</v>
      </c>
      <c r="E573" s="50" t="s">
        <v>2318</v>
      </c>
    </row>
    <row r="574" spans="1:5" ht="34.9" customHeight="1" x14ac:dyDescent="0.45">
      <c r="A574" s="11">
        <v>572</v>
      </c>
      <c r="B574" s="12" t="s">
        <v>1124</v>
      </c>
      <c r="C574" s="37" t="s">
        <v>1125</v>
      </c>
      <c r="D574" s="14" t="s">
        <v>1035</v>
      </c>
      <c r="E574" s="50" t="s">
        <v>2318</v>
      </c>
    </row>
    <row r="575" spans="1:5" ht="34.9" customHeight="1" x14ac:dyDescent="0.45">
      <c r="A575" s="11">
        <v>573</v>
      </c>
      <c r="B575" s="12" t="s">
        <v>1126</v>
      </c>
      <c r="C575" s="37" t="s">
        <v>1127</v>
      </c>
      <c r="D575" s="14" t="s">
        <v>1035</v>
      </c>
      <c r="E575" s="50" t="s">
        <v>2318</v>
      </c>
    </row>
    <row r="576" spans="1:5" ht="34.9" customHeight="1" x14ac:dyDescent="0.45">
      <c r="A576" s="11">
        <v>574</v>
      </c>
      <c r="B576" s="12" t="s">
        <v>1128</v>
      </c>
      <c r="C576" s="37" t="s">
        <v>1129</v>
      </c>
      <c r="D576" s="14" t="s">
        <v>1035</v>
      </c>
      <c r="E576" s="50" t="s">
        <v>2317</v>
      </c>
    </row>
    <row r="577" spans="1:6" x14ac:dyDescent="0.45">
      <c r="A577" s="16">
        <v>575</v>
      </c>
      <c r="B577" s="17" t="s">
        <v>1130</v>
      </c>
      <c r="C577" s="38" t="s">
        <v>1131</v>
      </c>
      <c r="D577" s="19" t="s">
        <v>1035</v>
      </c>
      <c r="E577" s="20" t="s">
        <v>379</v>
      </c>
    </row>
    <row r="578" spans="1:6" x14ac:dyDescent="0.45">
      <c r="A578" s="16">
        <v>576</v>
      </c>
      <c r="B578" s="17" t="s">
        <v>1132</v>
      </c>
      <c r="C578" s="38" t="s">
        <v>1133</v>
      </c>
      <c r="D578" s="19" t="s">
        <v>1035</v>
      </c>
      <c r="E578" s="20" t="s">
        <v>379</v>
      </c>
    </row>
    <row r="579" spans="1:6" x14ac:dyDescent="0.45">
      <c r="A579" s="16">
        <v>577</v>
      </c>
      <c r="B579" s="17" t="s">
        <v>1134</v>
      </c>
      <c r="C579" s="38" t="s">
        <v>1135</v>
      </c>
      <c r="D579" s="19" t="s">
        <v>1035</v>
      </c>
      <c r="E579" s="20" t="s">
        <v>379</v>
      </c>
    </row>
    <row r="580" spans="1:6" x14ac:dyDescent="0.45">
      <c r="A580" s="16">
        <v>578</v>
      </c>
      <c r="B580" s="17" t="s">
        <v>1136</v>
      </c>
      <c r="C580" s="38" t="s">
        <v>1133</v>
      </c>
      <c r="D580" s="19" t="s">
        <v>1035</v>
      </c>
      <c r="E580" s="20" t="s">
        <v>379</v>
      </c>
    </row>
    <row r="581" spans="1:6" ht="34.9" customHeight="1" x14ac:dyDescent="0.45">
      <c r="A581" s="16">
        <v>579</v>
      </c>
      <c r="B581" s="17" t="s">
        <v>1137</v>
      </c>
      <c r="C581" s="38" t="s">
        <v>1138</v>
      </c>
      <c r="D581" s="19" t="s">
        <v>1035</v>
      </c>
      <c r="E581" s="20" t="s">
        <v>379</v>
      </c>
    </row>
    <row r="582" spans="1:6" ht="34.9" customHeight="1" x14ac:dyDescent="0.45">
      <c r="A582" s="16">
        <v>580</v>
      </c>
      <c r="B582" s="17" t="s">
        <v>1139</v>
      </c>
      <c r="C582" s="38" t="s">
        <v>1138</v>
      </c>
      <c r="D582" s="19" t="s">
        <v>1035</v>
      </c>
      <c r="E582" s="20" t="s">
        <v>379</v>
      </c>
    </row>
    <row r="583" spans="1:6" ht="116.25" customHeight="1" x14ac:dyDescent="0.45">
      <c r="A583" s="16">
        <v>581</v>
      </c>
      <c r="B583" s="17" t="s">
        <v>1140</v>
      </c>
      <c r="C583" s="38" t="s">
        <v>1141</v>
      </c>
      <c r="D583" s="19" t="s">
        <v>1035</v>
      </c>
      <c r="E583" s="20" t="s">
        <v>379</v>
      </c>
    </row>
    <row r="584" spans="1:6" x14ac:dyDescent="0.45">
      <c r="A584" s="6">
        <v>582</v>
      </c>
      <c r="B584" s="7" t="s">
        <v>1142</v>
      </c>
      <c r="C584" s="8"/>
      <c r="D584" s="9" t="s">
        <v>1143</v>
      </c>
      <c r="E584" s="10" t="s">
        <v>10</v>
      </c>
      <c r="F584" t="s">
        <v>25</v>
      </c>
    </row>
    <row r="585" spans="1:6" x14ac:dyDescent="0.45">
      <c r="A585" s="11">
        <v>583</v>
      </c>
      <c r="B585" s="12" t="s">
        <v>1144</v>
      </c>
      <c r="C585" s="13"/>
      <c r="D585" s="14" t="s">
        <v>1143</v>
      </c>
      <c r="E585" s="15" t="s">
        <v>197</v>
      </c>
    </row>
    <row r="586" spans="1:6" x14ac:dyDescent="0.45">
      <c r="A586" s="11">
        <v>584</v>
      </c>
      <c r="B586" s="12" t="s">
        <v>1145</v>
      </c>
      <c r="C586" s="13"/>
      <c r="D586" s="14" t="s">
        <v>1143</v>
      </c>
      <c r="E586" s="15" t="s">
        <v>197</v>
      </c>
    </row>
    <row r="587" spans="1:6" x14ac:dyDescent="0.45">
      <c r="A587" s="11">
        <v>585</v>
      </c>
      <c r="B587" s="12" t="s">
        <v>1146</v>
      </c>
      <c r="C587" s="13"/>
      <c r="D587" s="14" t="s">
        <v>1143</v>
      </c>
      <c r="E587" s="15" t="s">
        <v>197</v>
      </c>
    </row>
    <row r="588" spans="1:6" x14ac:dyDescent="0.45">
      <c r="A588" s="11">
        <v>586</v>
      </c>
      <c r="B588" s="12" t="s">
        <v>1147</v>
      </c>
      <c r="C588" s="13"/>
      <c r="D588" s="14" t="s">
        <v>1143</v>
      </c>
      <c r="E588" s="15" t="s">
        <v>197</v>
      </c>
    </row>
    <row r="589" spans="1:6" ht="34.9" customHeight="1" x14ac:dyDescent="0.45">
      <c r="A589" s="11">
        <v>587</v>
      </c>
      <c r="B589" s="12" t="s">
        <v>1120</v>
      </c>
      <c r="C589" s="37" t="s">
        <v>1121</v>
      </c>
      <c r="D589" s="14" t="s">
        <v>1143</v>
      </c>
      <c r="E589" s="15" t="s">
        <v>197</v>
      </c>
    </row>
    <row r="590" spans="1:6" x14ac:dyDescent="0.45">
      <c r="A590" s="11">
        <v>588</v>
      </c>
      <c r="B590" s="12" t="s">
        <v>1148</v>
      </c>
      <c r="C590" s="13"/>
      <c r="D590" s="14" t="s">
        <v>1143</v>
      </c>
      <c r="E590" s="15" t="s">
        <v>197</v>
      </c>
    </row>
    <row r="591" spans="1:6" x14ac:dyDescent="0.45">
      <c r="A591" s="11">
        <v>589</v>
      </c>
      <c r="B591" s="12" t="s">
        <v>1149</v>
      </c>
      <c r="C591" s="37"/>
      <c r="D591" s="14" t="s">
        <v>1143</v>
      </c>
      <c r="E591" s="15" t="s">
        <v>197</v>
      </c>
    </row>
    <row r="592" spans="1:6" x14ac:dyDescent="0.45">
      <c r="A592" s="16">
        <v>590</v>
      </c>
      <c r="B592" s="17" t="s">
        <v>1150</v>
      </c>
      <c r="C592" s="18"/>
      <c r="D592" s="19" t="s">
        <v>1143</v>
      </c>
      <c r="E592" s="20" t="s">
        <v>379</v>
      </c>
    </row>
    <row r="593" spans="1:6" ht="46.5" customHeight="1" x14ac:dyDescent="0.45">
      <c r="A593" s="6">
        <v>591</v>
      </c>
      <c r="B593" s="7" t="s">
        <v>1151</v>
      </c>
      <c r="C593" s="36" t="s">
        <v>1152</v>
      </c>
      <c r="D593" s="9" t="s">
        <v>1153</v>
      </c>
      <c r="E593" s="10" t="s">
        <v>10</v>
      </c>
      <c r="F593" t="s">
        <v>25</v>
      </c>
    </row>
    <row r="594" spans="1:6" x14ac:dyDescent="0.45">
      <c r="A594" s="6">
        <v>592</v>
      </c>
      <c r="B594" s="7" t="s">
        <v>341</v>
      </c>
      <c r="C594" s="8" t="s">
        <v>342</v>
      </c>
      <c r="D594" s="9" t="s">
        <v>1153</v>
      </c>
      <c r="E594" s="10" t="s">
        <v>10</v>
      </c>
      <c r="F594" t="s">
        <v>25</v>
      </c>
    </row>
    <row r="595" spans="1:6" ht="23.25" customHeight="1" x14ac:dyDescent="0.45">
      <c r="A595" s="6">
        <v>593</v>
      </c>
      <c r="B595" s="7" t="s">
        <v>1154</v>
      </c>
      <c r="C595" s="36" t="s">
        <v>1155</v>
      </c>
      <c r="D595" s="9" t="s">
        <v>1153</v>
      </c>
      <c r="E595" s="10" t="s">
        <v>10</v>
      </c>
      <c r="F595" t="s">
        <v>25</v>
      </c>
    </row>
    <row r="596" spans="1:6" ht="23.25" customHeight="1" x14ac:dyDescent="0.45">
      <c r="A596" s="6">
        <v>594</v>
      </c>
      <c r="B596" s="7" t="s">
        <v>1156</v>
      </c>
      <c r="C596" s="36" t="s">
        <v>1157</v>
      </c>
      <c r="D596" s="9" t="s">
        <v>1153</v>
      </c>
      <c r="E596" s="10" t="s">
        <v>10</v>
      </c>
      <c r="F596" t="s">
        <v>25</v>
      </c>
    </row>
    <row r="597" spans="1:6" ht="23.25" customHeight="1" x14ac:dyDescent="0.45">
      <c r="A597" s="11">
        <v>595</v>
      </c>
      <c r="B597" s="12" t="s">
        <v>1158</v>
      </c>
      <c r="C597" s="37" t="s">
        <v>1159</v>
      </c>
      <c r="D597" s="14" t="s">
        <v>1153</v>
      </c>
      <c r="E597" s="50" t="s">
        <v>2318</v>
      </c>
    </row>
    <row r="598" spans="1:6" ht="139.5" customHeight="1" x14ac:dyDescent="0.45">
      <c r="A598" s="11">
        <v>596</v>
      </c>
      <c r="B598" s="12" t="s">
        <v>1160</v>
      </c>
      <c r="C598" s="37" t="s">
        <v>1161</v>
      </c>
      <c r="D598" s="14" t="s">
        <v>1153</v>
      </c>
      <c r="E598" s="50" t="s">
        <v>2318</v>
      </c>
    </row>
    <row r="599" spans="1:6" ht="46.5" customHeight="1" x14ac:dyDescent="0.45">
      <c r="A599" s="11">
        <v>597</v>
      </c>
      <c r="B599" s="12" t="s">
        <v>1162</v>
      </c>
      <c r="C599" s="37" t="s">
        <v>1163</v>
      </c>
      <c r="D599" s="14" t="s">
        <v>1153</v>
      </c>
      <c r="E599" s="50" t="s">
        <v>2318</v>
      </c>
    </row>
    <row r="600" spans="1:6" ht="23.25" customHeight="1" x14ac:dyDescent="0.45">
      <c r="A600" s="11">
        <v>598</v>
      </c>
      <c r="B600" s="12" t="s">
        <v>1164</v>
      </c>
      <c r="C600" s="37" t="s">
        <v>1165</v>
      </c>
      <c r="D600" s="14" t="s">
        <v>1153</v>
      </c>
      <c r="E600" s="50" t="s">
        <v>2318</v>
      </c>
    </row>
    <row r="601" spans="1:6" ht="34.9" customHeight="1" x14ac:dyDescent="0.45">
      <c r="A601" s="11">
        <v>599</v>
      </c>
      <c r="B601" s="12" t="s">
        <v>1166</v>
      </c>
      <c r="C601" s="37" t="s">
        <v>1167</v>
      </c>
      <c r="D601" s="14" t="s">
        <v>1153</v>
      </c>
      <c r="E601" s="50" t="s">
        <v>2318</v>
      </c>
    </row>
    <row r="602" spans="1:6" ht="34.9" customHeight="1" x14ac:dyDescent="0.45">
      <c r="A602" s="11">
        <v>600</v>
      </c>
      <c r="B602" s="12" t="s">
        <v>1168</v>
      </c>
      <c r="C602" s="37" t="s">
        <v>1169</v>
      </c>
      <c r="D602" s="14" t="s">
        <v>1153</v>
      </c>
      <c r="E602" s="50" t="s">
        <v>2318</v>
      </c>
    </row>
    <row r="603" spans="1:6" ht="23.25" customHeight="1" x14ac:dyDescent="0.45">
      <c r="A603" s="11">
        <v>601</v>
      </c>
      <c r="B603" s="12" t="s">
        <v>1170</v>
      </c>
      <c r="C603" s="37" t="s">
        <v>1171</v>
      </c>
      <c r="D603" s="14" t="s">
        <v>1153</v>
      </c>
      <c r="E603" s="50" t="s">
        <v>2318</v>
      </c>
    </row>
    <row r="604" spans="1:6" ht="23.25" customHeight="1" x14ac:dyDescent="0.45">
      <c r="A604" s="11">
        <v>602</v>
      </c>
      <c r="B604" s="12" t="s">
        <v>1172</v>
      </c>
      <c r="C604" s="37" t="s">
        <v>1173</v>
      </c>
      <c r="D604" s="14" t="s">
        <v>1153</v>
      </c>
      <c r="E604" s="50" t="s">
        <v>2318</v>
      </c>
    </row>
    <row r="605" spans="1:6" ht="23.25" customHeight="1" x14ac:dyDescent="0.45">
      <c r="A605" s="11">
        <v>603</v>
      </c>
      <c r="B605" s="12" t="s">
        <v>1174</v>
      </c>
      <c r="C605" s="37" t="s">
        <v>1175</v>
      </c>
      <c r="D605" s="14" t="s">
        <v>1153</v>
      </c>
      <c r="E605" s="50" t="s">
        <v>2318</v>
      </c>
    </row>
    <row r="606" spans="1:6" ht="23.25" customHeight="1" x14ac:dyDescent="0.45">
      <c r="A606" s="11">
        <v>604</v>
      </c>
      <c r="B606" s="12" t="s">
        <v>1176</v>
      </c>
      <c r="C606" s="37" t="s">
        <v>1177</v>
      </c>
      <c r="D606" s="14" t="s">
        <v>1153</v>
      </c>
      <c r="E606" s="50" t="s">
        <v>2318</v>
      </c>
    </row>
    <row r="607" spans="1:6" ht="23.25" customHeight="1" x14ac:dyDescent="0.45">
      <c r="A607" s="16">
        <v>605</v>
      </c>
      <c r="B607" s="17" t="s">
        <v>1178</v>
      </c>
      <c r="C607" s="38" t="s">
        <v>1179</v>
      </c>
      <c r="D607" s="19" t="s">
        <v>1153</v>
      </c>
      <c r="E607" s="20" t="s">
        <v>379</v>
      </c>
    </row>
    <row r="608" spans="1:6" ht="46.5" customHeight="1" x14ac:dyDescent="0.45">
      <c r="A608" s="16">
        <v>606</v>
      </c>
      <c r="B608" s="17" t="s">
        <v>1180</v>
      </c>
      <c r="C608" s="38" t="s">
        <v>1181</v>
      </c>
      <c r="D608" s="19" t="s">
        <v>1153</v>
      </c>
      <c r="E608" s="20" t="s">
        <v>379</v>
      </c>
    </row>
    <row r="609" spans="1:5" x14ac:dyDescent="0.45">
      <c r="A609" s="11">
        <v>607</v>
      </c>
      <c r="B609" s="12" t="s">
        <v>1182</v>
      </c>
      <c r="C609" s="37" t="s">
        <v>1183</v>
      </c>
      <c r="D609" s="14" t="s">
        <v>1184</v>
      </c>
      <c r="E609" s="50" t="s">
        <v>2318</v>
      </c>
    </row>
    <row r="610" spans="1:5" x14ac:dyDescent="0.45">
      <c r="A610" s="11">
        <v>608</v>
      </c>
      <c r="B610" s="12" t="s">
        <v>1185</v>
      </c>
      <c r="C610" s="37" t="s">
        <v>1186</v>
      </c>
      <c r="D610" s="14" t="s">
        <v>1184</v>
      </c>
      <c r="E610" s="50" t="s">
        <v>2318</v>
      </c>
    </row>
    <row r="611" spans="1:5" ht="23.25" customHeight="1" x14ac:dyDescent="0.45">
      <c r="A611" s="11">
        <v>609</v>
      </c>
      <c r="B611" s="12" t="s">
        <v>1187</v>
      </c>
      <c r="C611" s="37" t="s">
        <v>1188</v>
      </c>
      <c r="D611" s="14" t="s">
        <v>1184</v>
      </c>
      <c r="E611" s="50" t="s">
        <v>2318</v>
      </c>
    </row>
    <row r="612" spans="1:5" ht="23.25" customHeight="1" x14ac:dyDescent="0.45">
      <c r="A612" s="11">
        <v>610</v>
      </c>
      <c r="B612" s="12" t="s">
        <v>1189</v>
      </c>
      <c r="C612" s="37" t="s">
        <v>1190</v>
      </c>
      <c r="D612" s="14" t="s">
        <v>1184</v>
      </c>
      <c r="E612" s="50" t="s">
        <v>2318</v>
      </c>
    </row>
    <row r="613" spans="1:5" ht="34.9" customHeight="1" x14ac:dyDescent="0.45">
      <c r="A613" s="11">
        <v>611</v>
      </c>
      <c r="B613" s="12" t="s">
        <v>1191</v>
      </c>
      <c r="C613" s="37" t="s">
        <v>1192</v>
      </c>
      <c r="D613" s="14" t="s">
        <v>1184</v>
      </c>
      <c r="E613" s="50" t="s">
        <v>2318</v>
      </c>
    </row>
    <row r="614" spans="1:5" x14ac:dyDescent="0.45">
      <c r="A614" s="11">
        <v>612</v>
      </c>
      <c r="B614" s="12" t="s">
        <v>1193</v>
      </c>
      <c r="C614" s="37" t="s">
        <v>1183</v>
      </c>
      <c r="D614" s="14" t="s">
        <v>1184</v>
      </c>
      <c r="E614" s="50" t="s">
        <v>2318</v>
      </c>
    </row>
    <row r="615" spans="1:5" ht="23.25" customHeight="1" x14ac:dyDescent="0.45">
      <c r="A615" s="11">
        <v>613</v>
      </c>
      <c r="B615" s="12" t="s">
        <v>1194</v>
      </c>
      <c r="C615" s="37" t="s">
        <v>1188</v>
      </c>
      <c r="D615" s="14" t="s">
        <v>1184</v>
      </c>
      <c r="E615" s="50" t="s">
        <v>2318</v>
      </c>
    </row>
    <row r="616" spans="1:5" x14ac:dyDescent="0.45">
      <c r="A616" s="11">
        <v>614</v>
      </c>
      <c r="B616" s="12" t="s">
        <v>1195</v>
      </c>
      <c r="C616" s="13"/>
      <c r="D616" s="14" t="s">
        <v>1184</v>
      </c>
      <c r="E616" s="50" t="s">
        <v>2318</v>
      </c>
    </row>
    <row r="617" spans="1:5" ht="23.25" customHeight="1" x14ac:dyDescent="0.45">
      <c r="A617" s="11">
        <v>615</v>
      </c>
      <c r="B617" s="12" t="s">
        <v>1196</v>
      </c>
      <c r="C617" s="37" t="s">
        <v>1197</v>
      </c>
      <c r="D617" s="14" t="s">
        <v>1184</v>
      </c>
      <c r="E617" s="50" t="s">
        <v>2318</v>
      </c>
    </row>
    <row r="618" spans="1:5" ht="34.9" customHeight="1" x14ac:dyDescent="0.45">
      <c r="A618" s="11">
        <v>616</v>
      </c>
      <c r="B618" s="12" t="s">
        <v>1198</v>
      </c>
      <c r="C618" s="37" t="s">
        <v>1199</v>
      </c>
      <c r="D618" s="14" t="s">
        <v>1184</v>
      </c>
      <c r="E618" s="50" t="s">
        <v>2318</v>
      </c>
    </row>
    <row r="619" spans="1:5" x14ac:dyDescent="0.45">
      <c r="A619" s="11">
        <v>617</v>
      </c>
      <c r="B619" s="12" t="s">
        <v>1200</v>
      </c>
      <c r="C619" s="13"/>
      <c r="D619" s="14" t="s">
        <v>1184</v>
      </c>
      <c r="E619" s="50" t="s">
        <v>2318</v>
      </c>
    </row>
    <row r="620" spans="1:5" ht="23.25" customHeight="1" x14ac:dyDescent="0.45">
      <c r="A620" s="11">
        <v>618</v>
      </c>
      <c r="B620" s="12" t="s">
        <v>1201</v>
      </c>
      <c r="C620" s="37" t="s">
        <v>1202</v>
      </c>
      <c r="D620" s="14" t="s">
        <v>1184</v>
      </c>
      <c r="E620" s="50" t="s">
        <v>2318</v>
      </c>
    </row>
    <row r="621" spans="1:5" x14ac:dyDescent="0.45">
      <c r="A621" s="11">
        <v>619</v>
      </c>
      <c r="B621" s="12" t="s">
        <v>1203</v>
      </c>
      <c r="C621" s="37" t="s">
        <v>1204</v>
      </c>
      <c r="D621" s="14" t="s">
        <v>1184</v>
      </c>
      <c r="E621" s="50" t="s">
        <v>2318</v>
      </c>
    </row>
    <row r="622" spans="1:5" x14ac:dyDescent="0.45">
      <c r="A622" s="11">
        <v>620</v>
      </c>
      <c r="B622" s="12" t="s">
        <v>1205</v>
      </c>
      <c r="C622" s="37" t="s">
        <v>1206</v>
      </c>
      <c r="D622" s="14" t="s">
        <v>1184</v>
      </c>
      <c r="E622" s="50" t="s">
        <v>2318</v>
      </c>
    </row>
    <row r="623" spans="1:5" ht="23.25" customHeight="1" x14ac:dyDescent="0.45">
      <c r="A623" s="11">
        <v>621</v>
      </c>
      <c r="B623" s="12" t="s">
        <v>1207</v>
      </c>
      <c r="C623" s="37" t="s">
        <v>1208</v>
      </c>
      <c r="D623" s="14" t="s">
        <v>1184</v>
      </c>
      <c r="E623" s="50" t="s">
        <v>2318</v>
      </c>
    </row>
    <row r="624" spans="1:5" x14ac:dyDescent="0.45">
      <c r="A624" s="11">
        <v>622</v>
      </c>
      <c r="B624" s="12" t="s">
        <v>1209</v>
      </c>
      <c r="C624" s="37" t="s">
        <v>1204</v>
      </c>
      <c r="D624" s="14" t="s">
        <v>1184</v>
      </c>
      <c r="E624" s="50" t="s">
        <v>2318</v>
      </c>
    </row>
    <row r="625" spans="1:5" ht="34.9" customHeight="1" x14ac:dyDescent="0.45">
      <c r="A625" s="11">
        <v>623</v>
      </c>
      <c r="B625" s="12" t="s">
        <v>1210</v>
      </c>
      <c r="C625" s="37" t="s">
        <v>1211</v>
      </c>
      <c r="D625" s="14" t="s">
        <v>1184</v>
      </c>
      <c r="E625" s="50" t="s">
        <v>2318</v>
      </c>
    </row>
    <row r="626" spans="1:5" ht="23.25" customHeight="1" x14ac:dyDescent="0.45">
      <c r="A626" s="11">
        <v>624</v>
      </c>
      <c r="B626" s="12" t="s">
        <v>1212</v>
      </c>
      <c r="C626" s="13" t="s">
        <v>1213</v>
      </c>
      <c r="D626" s="14" t="s">
        <v>1214</v>
      </c>
      <c r="E626" s="15" t="s">
        <v>197</v>
      </c>
    </row>
    <row r="627" spans="1:5" x14ac:dyDescent="0.45">
      <c r="A627" s="11">
        <v>625</v>
      </c>
      <c r="B627" s="12" t="s">
        <v>1215</v>
      </c>
      <c r="C627" s="13" t="s">
        <v>1216</v>
      </c>
      <c r="D627" s="14" t="s">
        <v>1214</v>
      </c>
      <c r="E627" s="15" t="s">
        <v>197</v>
      </c>
    </row>
    <row r="628" spans="1:5" x14ac:dyDescent="0.45">
      <c r="A628" s="11">
        <v>626</v>
      </c>
      <c r="B628" s="12" t="s">
        <v>1217</v>
      </c>
      <c r="C628" s="13" t="s">
        <v>1218</v>
      </c>
      <c r="D628" s="14" t="s">
        <v>1214</v>
      </c>
      <c r="E628" s="15" t="s">
        <v>197</v>
      </c>
    </row>
    <row r="629" spans="1:5" ht="23.25" customHeight="1" x14ac:dyDescent="0.45">
      <c r="A629" s="11">
        <v>627</v>
      </c>
      <c r="B629" s="12" t="s">
        <v>1219</v>
      </c>
      <c r="C629" s="13" t="s">
        <v>1220</v>
      </c>
      <c r="D629" s="14" t="s">
        <v>1214</v>
      </c>
      <c r="E629" s="15" t="s">
        <v>197</v>
      </c>
    </row>
    <row r="630" spans="1:5" x14ac:dyDescent="0.45">
      <c r="A630" s="11">
        <v>628</v>
      </c>
      <c r="B630" s="12" t="s">
        <v>1221</v>
      </c>
      <c r="C630" s="13" t="s">
        <v>1222</v>
      </c>
      <c r="D630" s="14" t="s">
        <v>1214</v>
      </c>
      <c r="E630" s="15" t="s">
        <v>197</v>
      </c>
    </row>
    <row r="631" spans="1:5" x14ac:dyDescent="0.45">
      <c r="A631" s="11">
        <v>629</v>
      </c>
      <c r="B631" s="12" t="s">
        <v>1223</v>
      </c>
      <c r="C631" s="13" t="s">
        <v>1224</v>
      </c>
      <c r="D631" s="14" t="s">
        <v>1214</v>
      </c>
      <c r="E631" s="15" t="s">
        <v>197</v>
      </c>
    </row>
    <row r="632" spans="1:5" x14ac:dyDescent="0.45">
      <c r="A632" s="11">
        <v>630</v>
      </c>
      <c r="B632" s="12" t="s">
        <v>1225</v>
      </c>
      <c r="C632" s="13" t="s">
        <v>1226</v>
      </c>
      <c r="D632" s="14" t="s">
        <v>1214</v>
      </c>
      <c r="E632" s="15" t="s">
        <v>197</v>
      </c>
    </row>
    <row r="633" spans="1:5" ht="23.25" customHeight="1" x14ac:dyDescent="0.45">
      <c r="A633" s="11">
        <v>631</v>
      </c>
      <c r="B633" s="12" t="s">
        <v>1227</v>
      </c>
      <c r="C633" s="13" t="s">
        <v>1228</v>
      </c>
      <c r="D633" s="14" t="s">
        <v>1214</v>
      </c>
      <c r="E633" s="15" t="s">
        <v>197</v>
      </c>
    </row>
    <row r="634" spans="1:5" x14ac:dyDescent="0.45">
      <c r="A634" s="11">
        <v>632</v>
      </c>
      <c r="B634" s="12" t="s">
        <v>1229</v>
      </c>
      <c r="C634" s="13" t="s">
        <v>1230</v>
      </c>
      <c r="D634" s="14" t="s">
        <v>1214</v>
      </c>
      <c r="E634" s="15" t="s">
        <v>197</v>
      </c>
    </row>
    <row r="635" spans="1:5" ht="23.25" customHeight="1" x14ac:dyDescent="0.45">
      <c r="A635" s="11">
        <v>633</v>
      </c>
      <c r="B635" s="12" t="s">
        <v>1231</v>
      </c>
      <c r="C635" s="13" t="s">
        <v>1232</v>
      </c>
      <c r="D635" s="14" t="s">
        <v>1214</v>
      </c>
      <c r="E635" s="15" t="s">
        <v>197</v>
      </c>
    </row>
    <row r="636" spans="1:5" x14ac:dyDescent="0.45">
      <c r="A636" s="11">
        <v>634</v>
      </c>
      <c r="B636" s="12" t="s">
        <v>1233</v>
      </c>
      <c r="C636" s="13" t="s">
        <v>1234</v>
      </c>
      <c r="D636" s="14" t="s">
        <v>1214</v>
      </c>
      <c r="E636" s="15" t="s">
        <v>197</v>
      </c>
    </row>
    <row r="637" spans="1:5" x14ac:dyDescent="0.45">
      <c r="A637" s="11">
        <v>635</v>
      </c>
      <c r="B637" s="12" t="s">
        <v>1235</v>
      </c>
      <c r="C637" s="13" t="s">
        <v>1236</v>
      </c>
      <c r="D637" s="14" t="s">
        <v>1214</v>
      </c>
      <c r="E637" s="15" t="s">
        <v>197</v>
      </c>
    </row>
    <row r="638" spans="1:5" ht="23.25" customHeight="1" x14ac:dyDescent="0.45">
      <c r="A638" s="11">
        <v>636</v>
      </c>
      <c r="B638" s="12" t="s">
        <v>1237</v>
      </c>
      <c r="C638" s="13" t="s">
        <v>1238</v>
      </c>
      <c r="D638" s="14" t="s">
        <v>1214</v>
      </c>
      <c r="E638" s="15" t="s">
        <v>197</v>
      </c>
    </row>
    <row r="639" spans="1:5" x14ac:dyDescent="0.45">
      <c r="A639" s="11">
        <v>637</v>
      </c>
      <c r="B639" s="12" t="s">
        <v>1239</v>
      </c>
      <c r="C639" s="13" t="s">
        <v>1240</v>
      </c>
      <c r="D639" s="14" t="s">
        <v>1214</v>
      </c>
      <c r="E639" s="15" t="s">
        <v>197</v>
      </c>
    </row>
    <row r="640" spans="1:5" x14ac:dyDescent="0.45">
      <c r="A640" s="11">
        <v>638</v>
      </c>
      <c r="B640" s="12" t="s">
        <v>1241</v>
      </c>
      <c r="C640" s="13" t="s">
        <v>1242</v>
      </c>
      <c r="D640" s="14" t="s">
        <v>1214</v>
      </c>
      <c r="E640" s="15" t="s">
        <v>197</v>
      </c>
    </row>
    <row r="641" spans="1:6" ht="23.25" customHeight="1" x14ac:dyDescent="0.45">
      <c r="A641" s="11">
        <v>639</v>
      </c>
      <c r="B641" s="12" t="s">
        <v>1243</v>
      </c>
      <c r="C641" s="13" t="s">
        <v>1244</v>
      </c>
      <c r="D641" s="14" t="s">
        <v>1214</v>
      </c>
      <c r="E641" s="15" t="s">
        <v>197</v>
      </c>
    </row>
    <row r="642" spans="1:6" x14ac:dyDescent="0.45">
      <c r="A642" s="6">
        <v>640</v>
      </c>
      <c r="B642" s="7" t="s">
        <v>1245</v>
      </c>
      <c r="C642" s="36" t="s">
        <v>1246</v>
      </c>
      <c r="D642" s="9" t="s">
        <v>2319</v>
      </c>
      <c r="E642" s="10" t="s">
        <v>10</v>
      </c>
      <c r="F642" t="s">
        <v>25</v>
      </c>
    </row>
    <row r="643" spans="1:6" ht="23.25" customHeight="1" x14ac:dyDescent="0.45">
      <c r="A643" s="6">
        <v>641</v>
      </c>
      <c r="B643" s="7" t="s">
        <v>764</v>
      </c>
      <c r="C643" s="8" t="s">
        <v>765</v>
      </c>
      <c r="D643" s="9" t="s">
        <v>2319</v>
      </c>
      <c r="E643" s="10" t="s">
        <v>10</v>
      </c>
      <c r="F643" t="s">
        <v>11</v>
      </c>
    </row>
    <row r="644" spans="1:6" ht="23.25" customHeight="1" x14ac:dyDescent="0.45">
      <c r="A644" s="6">
        <v>642</v>
      </c>
      <c r="B644" s="7" t="s">
        <v>778</v>
      </c>
      <c r="C644" s="8" t="s">
        <v>779</v>
      </c>
      <c r="D644" s="9" t="s">
        <v>2319</v>
      </c>
      <c r="E644" s="10" t="s">
        <v>10</v>
      </c>
      <c r="F644" t="s">
        <v>11</v>
      </c>
    </row>
    <row r="645" spans="1:6" x14ac:dyDescent="0.45">
      <c r="A645" s="6">
        <v>643</v>
      </c>
      <c r="B645" s="7" t="s">
        <v>1247</v>
      </c>
      <c r="C645" s="36" t="s">
        <v>1248</v>
      </c>
      <c r="D645" s="9" t="s">
        <v>2319</v>
      </c>
      <c r="E645" s="10" t="s">
        <v>10</v>
      </c>
      <c r="F645" t="s">
        <v>25</v>
      </c>
    </row>
    <row r="646" spans="1:6" ht="23.25" customHeight="1" x14ac:dyDescent="0.45">
      <c r="A646" s="6">
        <v>644</v>
      </c>
      <c r="B646" s="7" t="s">
        <v>770</v>
      </c>
      <c r="C646" s="8" t="s">
        <v>771</v>
      </c>
      <c r="D646" s="9" t="s">
        <v>2319</v>
      </c>
      <c r="E646" s="10" t="s">
        <v>10</v>
      </c>
      <c r="F646" t="s">
        <v>25</v>
      </c>
    </row>
    <row r="647" spans="1:6" ht="23.25" customHeight="1" x14ac:dyDescent="0.45">
      <c r="A647" s="6">
        <v>645</v>
      </c>
      <c r="B647" s="7" t="s">
        <v>846</v>
      </c>
      <c r="C647" s="8" t="s">
        <v>847</v>
      </c>
      <c r="D647" s="9" t="s">
        <v>2319</v>
      </c>
      <c r="E647" s="10" t="s">
        <v>10</v>
      </c>
      <c r="F647" t="s">
        <v>25</v>
      </c>
    </row>
    <row r="648" spans="1:6" x14ac:dyDescent="0.45">
      <c r="A648" s="6">
        <v>646</v>
      </c>
      <c r="B648" s="7" t="s">
        <v>774</v>
      </c>
      <c r="C648" s="8" t="s">
        <v>775</v>
      </c>
      <c r="D648" s="9" t="s">
        <v>2319</v>
      </c>
      <c r="E648" s="10" t="s">
        <v>10</v>
      </c>
      <c r="F648" t="s">
        <v>25</v>
      </c>
    </row>
    <row r="649" spans="1:6" x14ac:dyDescent="0.45">
      <c r="A649" s="6">
        <v>647</v>
      </c>
      <c r="B649" s="7" t="s">
        <v>1249</v>
      </c>
      <c r="C649" s="36" t="s">
        <v>1250</v>
      </c>
      <c r="D649" s="9" t="s">
        <v>2319</v>
      </c>
      <c r="E649" s="10" t="s">
        <v>10</v>
      </c>
      <c r="F649" t="s">
        <v>11</v>
      </c>
    </row>
    <row r="650" spans="1:6" x14ac:dyDescent="0.45">
      <c r="A650" s="11">
        <v>648</v>
      </c>
      <c r="B650" s="12" t="s">
        <v>1251</v>
      </c>
      <c r="C650" s="37" t="s">
        <v>1252</v>
      </c>
      <c r="D650" s="14" t="s">
        <v>2319</v>
      </c>
      <c r="E650" s="15" t="s">
        <v>197</v>
      </c>
    </row>
    <row r="651" spans="1:6" x14ac:dyDescent="0.45">
      <c r="A651" s="11">
        <v>649</v>
      </c>
      <c r="B651" s="12" t="s">
        <v>1253</v>
      </c>
      <c r="C651" s="37" t="s">
        <v>1254</v>
      </c>
      <c r="D651" s="14" t="s">
        <v>2319</v>
      </c>
      <c r="E651" s="15" t="s">
        <v>197</v>
      </c>
    </row>
    <row r="652" spans="1:6" x14ac:dyDescent="0.45">
      <c r="A652" s="11">
        <v>650</v>
      </c>
      <c r="B652" s="12" t="s">
        <v>1255</v>
      </c>
      <c r="C652" s="37" t="s">
        <v>1256</v>
      </c>
      <c r="D652" s="14" t="s">
        <v>2319</v>
      </c>
      <c r="E652" s="15" t="s">
        <v>197</v>
      </c>
    </row>
    <row r="653" spans="1:6" x14ac:dyDescent="0.45">
      <c r="A653" s="11">
        <v>651</v>
      </c>
      <c r="B653" s="12" t="s">
        <v>1257</v>
      </c>
      <c r="C653" s="37" t="s">
        <v>1258</v>
      </c>
      <c r="D653" s="14" t="s">
        <v>2319</v>
      </c>
      <c r="E653" s="15" t="s">
        <v>197</v>
      </c>
    </row>
    <row r="654" spans="1:6" x14ac:dyDescent="0.45">
      <c r="A654" s="11">
        <v>652</v>
      </c>
      <c r="B654" s="12" t="s">
        <v>1259</v>
      </c>
      <c r="C654" s="37" t="s">
        <v>1260</v>
      </c>
      <c r="D654" s="14" t="s">
        <v>2319</v>
      </c>
      <c r="E654" s="15" t="s">
        <v>197</v>
      </c>
    </row>
    <row r="655" spans="1:6" x14ac:dyDescent="0.45">
      <c r="A655" s="11">
        <v>653</v>
      </c>
      <c r="B655" s="12" t="s">
        <v>1261</v>
      </c>
      <c r="C655" s="37" t="s">
        <v>1262</v>
      </c>
      <c r="D655" s="14" t="s">
        <v>2319</v>
      </c>
      <c r="E655" s="15" t="s">
        <v>197</v>
      </c>
    </row>
    <row r="656" spans="1:6" x14ac:dyDescent="0.45">
      <c r="A656" s="11">
        <v>654</v>
      </c>
      <c r="B656" s="12" t="s">
        <v>1263</v>
      </c>
      <c r="C656" s="37" t="s">
        <v>1264</v>
      </c>
      <c r="D656" s="14" t="s">
        <v>2319</v>
      </c>
      <c r="E656" s="15" t="s">
        <v>197</v>
      </c>
    </row>
    <row r="657" spans="1:5" x14ac:dyDescent="0.45">
      <c r="A657" s="11">
        <v>655</v>
      </c>
      <c r="B657" s="12" t="s">
        <v>1265</v>
      </c>
      <c r="C657" s="37" t="s">
        <v>1266</v>
      </c>
      <c r="D657" s="14" t="s">
        <v>2319</v>
      </c>
      <c r="E657" s="15" t="s">
        <v>197</v>
      </c>
    </row>
    <row r="658" spans="1:5" x14ac:dyDescent="0.45">
      <c r="A658" s="11">
        <v>656</v>
      </c>
      <c r="B658" s="12" t="s">
        <v>1267</v>
      </c>
      <c r="C658" s="37" t="s">
        <v>1268</v>
      </c>
      <c r="D658" s="14" t="s">
        <v>2319</v>
      </c>
      <c r="E658" s="15" t="s">
        <v>197</v>
      </c>
    </row>
    <row r="659" spans="1:5" x14ac:dyDescent="0.45">
      <c r="A659" s="11">
        <v>657</v>
      </c>
      <c r="B659" s="12" t="s">
        <v>1269</v>
      </c>
      <c r="C659" s="37" t="s">
        <v>1270</v>
      </c>
      <c r="D659" s="14" t="s">
        <v>2319</v>
      </c>
      <c r="E659" s="15" t="s">
        <v>197</v>
      </c>
    </row>
    <row r="660" spans="1:5" x14ac:dyDescent="0.45">
      <c r="A660" s="11">
        <v>658</v>
      </c>
      <c r="B660" s="12" t="s">
        <v>1271</v>
      </c>
      <c r="C660" s="37" t="s">
        <v>1272</v>
      </c>
      <c r="D660" s="14" t="s">
        <v>2319</v>
      </c>
      <c r="E660" s="15" t="s">
        <v>197</v>
      </c>
    </row>
    <row r="661" spans="1:5" x14ac:dyDescent="0.45">
      <c r="A661" s="11">
        <v>659</v>
      </c>
      <c r="B661" s="12" t="s">
        <v>1273</v>
      </c>
      <c r="C661" s="37" t="s">
        <v>1274</v>
      </c>
      <c r="D661" s="14" t="s">
        <v>2319</v>
      </c>
      <c r="E661" s="15" t="s">
        <v>2318</v>
      </c>
    </row>
    <row r="662" spans="1:5" x14ac:dyDescent="0.45">
      <c r="A662" s="11">
        <v>660</v>
      </c>
      <c r="B662" s="12" t="s">
        <v>1275</v>
      </c>
      <c r="C662" s="37" t="s">
        <v>1276</v>
      </c>
      <c r="D662" s="14" t="s">
        <v>2319</v>
      </c>
      <c r="E662" s="15" t="s">
        <v>2318</v>
      </c>
    </row>
    <row r="663" spans="1:5" x14ac:dyDescent="0.45">
      <c r="A663" s="11">
        <v>661</v>
      </c>
      <c r="B663" s="12" t="s">
        <v>1277</v>
      </c>
      <c r="C663" s="13"/>
      <c r="D663" s="14" t="s">
        <v>2319</v>
      </c>
      <c r="E663" s="15" t="s">
        <v>2318</v>
      </c>
    </row>
    <row r="664" spans="1:5" x14ac:dyDescent="0.45">
      <c r="A664" s="11">
        <v>662</v>
      </c>
      <c r="B664" s="12" t="s">
        <v>1278</v>
      </c>
      <c r="C664" s="37" t="s">
        <v>1279</v>
      </c>
      <c r="D664" s="14" t="s">
        <v>2319</v>
      </c>
      <c r="E664" s="15" t="s">
        <v>2318</v>
      </c>
    </row>
    <row r="665" spans="1:5" x14ac:dyDescent="0.45">
      <c r="A665" s="11">
        <v>663</v>
      </c>
      <c r="B665" s="12" t="s">
        <v>1280</v>
      </c>
      <c r="C665" s="37" t="s">
        <v>1281</v>
      </c>
      <c r="D665" s="14" t="s">
        <v>2319</v>
      </c>
      <c r="E665" s="15" t="s">
        <v>2318</v>
      </c>
    </row>
    <row r="666" spans="1:5" x14ac:dyDescent="0.45">
      <c r="A666" s="11">
        <v>664</v>
      </c>
      <c r="B666" s="12" t="s">
        <v>1282</v>
      </c>
      <c r="C666" s="37" t="s">
        <v>1283</v>
      </c>
      <c r="D666" s="14" t="s">
        <v>2319</v>
      </c>
      <c r="E666" s="15" t="s">
        <v>2318</v>
      </c>
    </row>
    <row r="667" spans="1:5" x14ac:dyDescent="0.45">
      <c r="A667" s="11">
        <v>665</v>
      </c>
      <c r="B667" s="12" t="s">
        <v>1284</v>
      </c>
      <c r="C667" s="37" t="s">
        <v>1285</v>
      </c>
      <c r="D667" s="14" t="s">
        <v>2319</v>
      </c>
      <c r="E667" s="15" t="s">
        <v>2318</v>
      </c>
    </row>
    <row r="668" spans="1:5" x14ac:dyDescent="0.45">
      <c r="A668" s="11">
        <v>666</v>
      </c>
      <c r="B668" s="12" t="s">
        <v>1286</v>
      </c>
      <c r="C668" s="37" t="s">
        <v>1287</v>
      </c>
      <c r="D668" s="14" t="s">
        <v>2319</v>
      </c>
      <c r="E668" s="15" t="s">
        <v>2318</v>
      </c>
    </row>
    <row r="669" spans="1:5" x14ac:dyDescent="0.45">
      <c r="A669" s="11">
        <v>667</v>
      </c>
      <c r="B669" s="12" t="s">
        <v>1288</v>
      </c>
      <c r="C669" s="37" t="s">
        <v>1289</v>
      </c>
      <c r="D669" s="14" t="s">
        <v>2319</v>
      </c>
      <c r="E669" s="15" t="s">
        <v>2318</v>
      </c>
    </row>
    <row r="670" spans="1:5" x14ac:dyDescent="0.45">
      <c r="A670" s="11">
        <v>668</v>
      </c>
      <c r="B670" s="12" t="s">
        <v>1290</v>
      </c>
      <c r="C670" s="37" t="s">
        <v>1291</v>
      </c>
      <c r="D670" s="14" t="s">
        <v>2319</v>
      </c>
      <c r="E670" s="15" t="s">
        <v>197</v>
      </c>
    </row>
    <row r="671" spans="1:5" x14ac:dyDescent="0.45">
      <c r="A671" s="11">
        <v>669</v>
      </c>
      <c r="B671" s="12" t="s">
        <v>1292</v>
      </c>
      <c r="C671" s="37" t="s">
        <v>1293</v>
      </c>
      <c r="D671" s="14" t="s">
        <v>2319</v>
      </c>
      <c r="E671" s="15" t="s">
        <v>197</v>
      </c>
    </row>
    <row r="672" spans="1:5" x14ac:dyDescent="0.45">
      <c r="A672" s="11">
        <v>670</v>
      </c>
      <c r="B672" s="12" t="s">
        <v>1294</v>
      </c>
      <c r="C672" s="37" t="s">
        <v>1295</v>
      </c>
      <c r="D672" s="14" t="s">
        <v>2319</v>
      </c>
      <c r="E672" s="15" t="s">
        <v>197</v>
      </c>
    </row>
    <row r="673" spans="1:5" x14ac:dyDescent="0.45">
      <c r="A673" s="11">
        <v>671</v>
      </c>
      <c r="B673" s="12" t="s">
        <v>1296</v>
      </c>
      <c r="C673" s="37" t="s">
        <v>1297</v>
      </c>
      <c r="D673" s="14" t="s">
        <v>2319</v>
      </c>
      <c r="E673" s="15" t="s">
        <v>197</v>
      </c>
    </row>
    <row r="674" spans="1:5" x14ac:dyDescent="0.45">
      <c r="A674" s="11">
        <v>672</v>
      </c>
      <c r="B674" s="12" t="s">
        <v>1298</v>
      </c>
      <c r="C674" s="37" t="s">
        <v>1299</v>
      </c>
      <c r="D674" s="14" t="s">
        <v>2319</v>
      </c>
      <c r="E674" s="15" t="s">
        <v>197</v>
      </c>
    </row>
    <row r="675" spans="1:5" x14ac:dyDescent="0.45">
      <c r="A675" s="11">
        <v>673</v>
      </c>
      <c r="B675" s="12" t="s">
        <v>1300</v>
      </c>
      <c r="C675" s="37" t="s">
        <v>1301</v>
      </c>
      <c r="D675" s="14" t="s">
        <v>2319</v>
      </c>
      <c r="E675" s="15" t="s">
        <v>197</v>
      </c>
    </row>
    <row r="676" spans="1:5" x14ac:dyDescent="0.45">
      <c r="A676" s="11">
        <v>674</v>
      </c>
      <c r="B676" s="12" t="s">
        <v>1302</v>
      </c>
      <c r="C676" s="37" t="s">
        <v>1303</v>
      </c>
      <c r="D676" s="14" t="s">
        <v>2319</v>
      </c>
      <c r="E676" s="15" t="s">
        <v>197</v>
      </c>
    </row>
    <row r="677" spans="1:5" x14ac:dyDescent="0.45">
      <c r="A677" s="11">
        <v>675</v>
      </c>
      <c r="B677" s="12" t="s">
        <v>1304</v>
      </c>
      <c r="C677" s="37" t="s">
        <v>1305</v>
      </c>
      <c r="D677" s="14" t="s">
        <v>2319</v>
      </c>
      <c r="E677" s="15" t="s">
        <v>2318</v>
      </c>
    </row>
    <row r="678" spans="1:5" x14ac:dyDescent="0.45">
      <c r="A678" s="11">
        <v>676</v>
      </c>
      <c r="B678" s="12" t="s">
        <v>1306</v>
      </c>
      <c r="C678" s="37" t="s">
        <v>1307</v>
      </c>
      <c r="D678" s="14" t="s">
        <v>2319</v>
      </c>
      <c r="E678" s="15" t="s">
        <v>2318</v>
      </c>
    </row>
    <row r="679" spans="1:5" x14ac:dyDescent="0.45">
      <c r="A679" s="11">
        <v>677</v>
      </c>
      <c r="B679" s="12" t="s">
        <v>1308</v>
      </c>
      <c r="C679" s="37" t="s">
        <v>1309</v>
      </c>
      <c r="D679" s="14" t="s">
        <v>2319</v>
      </c>
      <c r="E679" s="15" t="s">
        <v>197</v>
      </c>
    </row>
    <row r="680" spans="1:5" ht="23.25" customHeight="1" x14ac:dyDescent="0.45">
      <c r="A680" s="11">
        <v>678</v>
      </c>
      <c r="B680" s="12" t="s">
        <v>1310</v>
      </c>
      <c r="C680" s="37" t="s">
        <v>1311</v>
      </c>
      <c r="D680" s="14" t="s">
        <v>2319</v>
      </c>
      <c r="E680" s="15" t="s">
        <v>197</v>
      </c>
    </row>
    <row r="681" spans="1:5" x14ac:dyDescent="0.45">
      <c r="A681" s="11">
        <v>679</v>
      </c>
      <c r="B681" s="12" t="s">
        <v>1312</v>
      </c>
      <c r="C681" s="37" t="s">
        <v>1313</v>
      </c>
      <c r="D681" s="14" t="s">
        <v>2319</v>
      </c>
      <c r="E681" s="15" t="s">
        <v>197</v>
      </c>
    </row>
    <row r="682" spans="1:5" x14ac:dyDescent="0.45">
      <c r="A682" s="11">
        <v>680</v>
      </c>
      <c r="B682" s="12" t="s">
        <v>1314</v>
      </c>
      <c r="C682" s="37" t="s">
        <v>1315</v>
      </c>
      <c r="D682" s="14" t="s">
        <v>2319</v>
      </c>
      <c r="E682" s="15" t="s">
        <v>197</v>
      </c>
    </row>
    <row r="683" spans="1:5" x14ac:dyDescent="0.45">
      <c r="A683" s="11">
        <v>681</v>
      </c>
      <c r="B683" s="12" t="s">
        <v>1316</v>
      </c>
      <c r="C683" s="37" t="s">
        <v>1317</v>
      </c>
      <c r="D683" s="14" t="s">
        <v>2319</v>
      </c>
      <c r="E683" s="15" t="s">
        <v>197</v>
      </c>
    </row>
    <row r="684" spans="1:5" x14ac:dyDescent="0.45">
      <c r="A684" s="11">
        <v>682</v>
      </c>
      <c r="B684" s="12" t="s">
        <v>1318</v>
      </c>
      <c r="C684" s="37" t="s">
        <v>1319</v>
      </c>
      <c r="D684" s="14" t="s">
        <v>2319</v>
      </c>
      <c r="E684" s="15" t="s">
        <v>197</v>
      </c>
    </row>
    <row r="685" spans="1:5" x14ac:dyDescent="0.45">
      <c r="A685" s="11">
        <v>683</v>
      </c>
      <c r="B685" s="12" t="s">
        <v>1320</v>
      </c>
      <c r="C685" s="37" t="s">
        <v>1321</v>
      </c>
      <c r="D685" s="14" t="s">
        <v>2319</v>
      </c>
      <c r="E685" s="15" t="s">
        <v>197</v>
      </c>
    </row>
    <row r="686" spans="1:5" x14ac:dyDescent="0.45">
      <c r="A686" s="11">
        <v>684</v>
      </c>
      <c r="B686" s="12" t="s">
        <v>1322</v>
      </c>
      <c r="C686" s="37" t="s">
        <v>1323</v>
      </c>
      <c r="D686" s="14" t="s">
        <v>2319</v>
      </c>
      <c r="E686" s="15" t="s">
        <v>197</v>
      </c>
    </row>
    <row r="687" spans="1:5" x14ac:dyDescent="0.45">
      <c r="A687" s="11">
        <v>685</v>
      </c>
      <c r="B687" s="12" t="s">
        <v>1324</v>
      </c>
      <c r="C687" s="37" t="s">
        <v>1325</v>
      </c>
      <c r="D687" s="14" t="s">
        <v>2319</v>
      </c>
      <c r="E687" s="15" t="s">
        <v>197</v>
      </c>
    </row>
    <row r="688" spans="1:5" x14ac:dyDescent="0.45">
      <c r="A688" s="11">
        <v>686</v>
      </c>
      <c r="B688" s="12" t="s">
        <v>1326</v>
      </c>
      <c r="C688" s="37" t="s">
        <v>1327</v>
      </c>
      <c r="D688" s="14" t="s">
        <v>2319</v>
      </c>
      <c r="E688" s="15" t="s">
        <v>197</v>
      </c>
    </row>
    <row r="689" spans="1:5" x14ac:dyDescent="0.45">
      <c r="A689" s="11">
        <v>687</v>
      </c>
      <c r="B689" s="12" t="s">
        <v>1328</v>
      </c>
      <c r="C689" s="13"/>
      <c r="D689" s="14" t="s">
        <v>2319</v>
      </c>
      <c r="E689" s="15" t="s">
        <v>2317</v>
      </c>
    </row>
    <row r="690" spans="1:5" x14ac:dyDescent="0.45">
      <c r="A690" s="11">
        <v>688</v>
      </c>
      <c r="B690" s="12" t="s">
        <v>1329</v>
      </c>
      <c r="C690" s="37" t="s">
        <v>1330</v>
      </c>
      <c r="D690" s="14" t="s">
        <v>2319</v>
      </c>
      <c r="E690" s="15" t="s">
        <v>197</v>
      </c>
    </row>
    <row r="691" spans="1:5" x14ac:dyDescent="0.45">
      <c r="A691" s="11">
        <v>689</v>
      </c>
      <c r="B691" s="12" t="s">
        <v>1331</v>
      </c>
      <c r="C691" s="37" t="s">
        <v>1332</v>
      </c>
      <c r="D691" s="14" t="s">
        <v>2319</v>
      </c>
      <c r="E691" s="15" t="s">
        <v>2317</v>
      </c>
    </row>
    <row r="692" spans="1:5" x14ac:dyDescent="0.45">
      <c r="A692" s="11">
        <v>690</v>
      </c>
      <c r="B692" s="12" t="s">
        <v>1333</v>
      </c>
      <c r="C692" s="13"/>
      <c r="D692" s="14" t="s">
        <v>2319</v>
      </c>
      <c r="E692" s="15" t="s">
        <v>197</v>
      </c>
    </row>
    <row r="693" spans="1:5" ht="23.25" customHeight="1" x14ac:dyDescent="0.45">
      <c r="A693" s="11">
        <v>691</v>
      </c>
      <c r="B693" s="12" t="s">
        <v>1334</v>
      </c>
      <c r="C693" s="37" t="s">
        <v>1335</v>
      </c>
      <c r="D693" s="14" t="s">
        <v>2319</v>
      </c>
      <c r="E693" s="15" t="s">
        <v>2317</v>
      </c>
    </row>
    <row r="694" spans="1:5" ht="23.25" customHeight="1" x14ac:dyDescent="0.45">
      <c r="A694" s="11">
        <v>692</v>
      </c>
      <c r="B694" s="12" t="s">
        <v>1336</v>
      </c>
      <c r="C694" s="37" t="s">
        <v>1337</v>
      </c>
      <c r="D694" s="14" t="s">
        <v>2319</v>
      </c>
      <c r="E694" s="15" t="s">
        <v>2317</v>
      </c>
    </row>
    <row r="695" spans="1:5" x14ac:dyDescent="0.45">
      <c r="A695" s="11">
        <v>693</v>
      </c>
      <c r="B695" s="12" t="s">
        <v>1338</v>
      </c>
      <c r="C695" s="37" t="s">
        <v>1339</v>
      </c>
      <c r="D695" s="14" t="s">
        <v>2319</v>
      </c>
      <c r="E695" s="15" t="s">
        <v>2317</v>
      </c>
    </row>
    <row r="696" spans="1:5" x14ac:dyDescent="0.45">
      <c r="A696" s="11">
        <v>694</v>
      </c>
      <c r="B696" s="12" t="s">
        <v>1340</v>
      </c>
      <c r="C696" s="37" t="s">
        <v>1341</v>
      </c>
      <c r="D696" s="14" t="s">
        <v>2319</v>
      </c>
      <c r="E696" s="15" t="s">
        <v>2317</v>
      </c>
    </row>
    <row r="697" spans="1:5" x14ac:dyDescent="0.45">
      <c r="A697" s="11">
        <v>695</v>
      </c>
      <c r="B697" s="12" t="s">
        <v>1342</v>
      </c>
      <c r="C697" s="37" t="s">
        <v>1343</v>
      </c>
      <c r="D697" s="14" t="s">
        <v>2319</v>
      </c>
      <c r="E697" s="15" t="s">
        <v>2317</v>
      </c>
    </row>
    <row r="698" spans="1:5" x14ac:dyDescent="0.45">
      <c r="A698" s="11">
        <v>696</v>
      </c>
      <c r="B698" s="12" t="s">
        <v>1344</v>
      </c>
      <c r="C698" s="37" t="s">
        <v>1345</v>
      </c>
      <c r="D698" s="14" t="s">
        <v>2319</v>
      </c>
      <c r="E698" s="15" t="s">
        <v>2317</v>
      </c>
    </row>
    <row r="699" spans="1:5" ht="23.25" customHeight="1" x14ac:dyDescent="0.45">
      <c r="A699" s="11">
        <v>697</v>
      </c>
      <c r="B699" s="12" t="s">
        <v>1346</v>
      </c>
      <c r="C699" s="37" t="s">
        <v>1347</v>
      </c>
      <c r="D699" s="14" t="s">
        <v>2319</v>
      </c>
      <c r="E699" s="15" t="s">
        <v>197</v>
      </c>
    </row>
    <row r="700" spans="1:5" x14ac:dyDescent="0.45">
      <c r="A700" s="11">
        <v>698</v>
      </c>
      <c r="B700" s="12" t="s">
        <v>1348</v>
      </c>
      <c r="C700" s="37" t="s">
        <v>1349</v>
      </c>
      <c r="D700" s="14" t="s">
        <v>2319</v>
      </c>
      <c r="E700" s="15" t="s">
        <v>2317</v>
      </c>
    </row>
    <row r="701" spans="1:5" x14ac:dyDescent="0.45">
      <c r="A701" s="11">
        <v>699</v>
      </c>
      <c r="B701" s="12" t="s">
        <v>1350</v>
      </c>
      <c r="C701" s="13"/>
      <c r="D701" s="14" t="s">
        <v>2319</v>
      </c>
      <c r="E701" s="15" t="s">
        <v>2317</v>
      </c>
    </row>
    <row r="702" spans="1:5" x14ac:dyDescent="0.45">
      <c r="A702" s="11">
        <v>700</v>
      </c>
      <c r="B702" s="12" t="s">
        <v>1351</v>
      </c>
      <c r="C702" s="13"/>
      <c r="D702" s="14" t="s">
        <v>2319</v>
      </c>
      <c r="E702" s="15" t="s">
        <v>2317</v>
      </c>
    </row>
    <row r="703" spans="1:5" x14ac:dyDescent="0.45">
      <c r="A703" s="11">
        <v>701</v>
      </c>
      <c r="B703" s="12" t="s">
        <v>1352</v>
      </c>
      <c r="C703" s="37" t="s">
        <v>1353</v>
      </c>
      <c r="D703" s="14" t="s">
        <v>2319</v>
      </c>
      <c r="E703" s="15" t="s">
        <v>197</v>
      </c>
    </row>
    <row r="704" spans="1:5" x14ac:dyDescent="0.45">
      <c r="A704" s="11">
        <v>702</v>
      </c>
      <c r="B704" s="12" t="s">
        <v>1354</v>
      </c>
      <c r="C704" s="37" t="s">
        <v>1355</v>
      </c>
      <c r="D704" s="14" t="s">
        <v>2319</v>
      </c>
      <c r="E704" s="15" t="s">
        <v>197</v>
      </c>
    </row>
    <row r="705" spans="1:5" x14ac:dyDescent="0.45">
      <c r="A705" s="11">
        <v>703</v>
      </c>
      <c r="B705" s="12" t="s">
        <v>1356</v>
      </c>
      <c r="C705" s="37" t="s">
        <v>1357</v>
      </c>
      <c r="D705" s="14" t="s">
        <v>2319</v>
      </c>
      <c r="E705" s="15" t="s">
        <v>197</v>
      </c>
    </row>
    <row r="706" spans="1:5" x14ac:dyDescent="0.45">
      <c r="A706" s="11">
        <v>704</v>
      </c>
      <c r="B706" s="12" t="s">
        <v>1358</v>
      </c>
      <c r="C706" s="37" t="s">
        <v>1359</v>
      </c>
      <c r="D706" s="14" t="s">
        <v>2319</v>
      </c>
      <c r="E706" s="15" t="s">
        <v>197</v>
      </c>
    </row>
    <row r="707" spans="1:5" x14ac:dyDescent="0.45">
      <c r="A707" s="11">
        <v>705</v>
      </c>
      <c r="B707" s="12" t="s">
        <v>1360</v>
      </c>
      <c r="C707" s="37" t="s">
        <v>1359</v>
      </c>
      <c r="D707" s="14" t="s">
        <v>2319</v>
      </c>
      <c r="E707" s="15" t="s">
        <v>197</v>
      </c>
    </row>
    <row r="708" spans="1:5" x14ac:dyDescent="0.45">
      <c r="A708" s="11">
        <v>706</v>
      </c>
      <c r="B708" s="12" t="s">
        <v>1361</v>
      </c>
      <c r="C708" s="37" t="s">
        <v>1359</v>
      </c>
      <c r="D708" s="14" t="s">
        <v>2319</v>
      </c>
      <c r="E708" s="15" t="s">
        <v>197</v>
      </c>
    </row>
    <row r="709" spans="1:5" ht="23.25" customHeight="1" x14ac:dyDescent="0.45">
      <c r="A709" s="11">
        <v>707</v>
      </c>
      <c r="B709" s="12" t="s">
        <v>1362</v>
      </c>
      <c r="C709" s="37" t="s">
        <v>1363</v>
      </c>
      <c r="D709" s="14" t="s">
        <v>2319</v>
      </c>
      <c r="E709" s="15" t="s">
        <v>197</v>
      </c>
    </row>
    <row r="710" spans="1:5" x14ac:dyDescent="0.45">
      <c r="A710" s="11">
        <v>708</v>
      </c>
      <c r="B710" s="12" t="s">
        <v>1364</v>
      </c>
      <c r="C710" s="37" t="s">
        <v>1365</v>
      </c>
      <c r="D710" s="14" t="s">
        <v>2319</v>
      </c>
      <c r="E710" s="15" t="s">
        <v>2317</v>
      </c>
    </row>
    <row r="711" spans="1:5" x14ac:dyDescent="0.45">
      <c r="A711" s="11">
        <v>709</v>
      </c>
      <c r="B711" s="12" t="s">
        <v>1366</v>
      </c>
      <c r="C711" s="37" t="s">
        <v>1367</v>
      </c>
      <c r="D711" s="14" t="s">
        <v>2319</v>
      </c>
      <c r="E711" s="15" t="s">
        <v>197</v>
      </c>
    </row>
    <row r="712" spans="1:5" x14ac:dyDescent="0.45">
      <c r="A712" s="11">
        <v>710</v>
      </c>
      <c r="B712" s="12" t="s">
        <v>1368</v>
      </c>
      <c r="C712" s="37" t="s">
        <v>1369</v>
      </c>
      <c r="D712" s="14" t="s">
        <v>2319</v>
      </c>
      <c r="E712" s="15" t="s">
        <v>2317</v>
      </c>
    </row>
    <row r="713" spans="1:5" x14ac:dyDescent="0.45">
      <c r="A713" s="11">
        <v>711</v>
      </c>
      <c r="B713" s="12" t="s">
        <v>1370</v>
      </c>
      <c r="C713" s="37" t="s">
        <v>1371</v>
      </c>
      <c r="D713" s="14" t="s">
        <v>2319</v>
      </c>
      <c r="E713" s="15" t="s">
        <v>197</v>
      </c>
    </row>
    <row r="714" spans="1:5" x14ac:dyDescent="0.45">
      <c r="A714" s="11">
        <v>712</v>
      </c>
      <c r="B714" s="12" t="s">
        <v>1372</v>
      </c>
      <c r="C714" s="37" t="s">
        <v>1373</v>
      </c>
      <c r="D714" s="14" t="s">
        <v>2319</v>
      </c>
      <c r="E714" s="15" t="s">
        <v>197</v>
      </c>
    </row>
    <row r="715" spans="1:5" x14ac:dyDescent="0.45">
      <c r="A715" s="11">
        <v>713</v>
      </c>
      <c r="B715" s="12" t="s">
        <v>1374</v>
      </c>
      <c r="C715" s="37" t="s">
        <v>1375</v>
      </c>
      <c r="D715" s="14" t="s">
        <v>2319</v>
      </c>
      <c r="E715" s="15" t="s">
        <v>197</v>
      </c>
    </row>
    <row r="716" spans="1:5" x14ac:dyDescent="0.45">
      <c r="A716" s="11">
        <v>714</v>
      </c>
      <c r="B716" s="12" t="s">
        <v>1376</v>
      </c>
      <c r="C716" s="37" t="s">
        <v>1377</v>
      </c>
      <c r="D716" s="14" t="s">
        <v>2319</v>
      </c>
      <c r="E716" s="15" t="s">
        <v>197</v>
      </c>
    </row>
    <row r="717" spans="1:5" x14ac:dyDescent="0.45">
      <c r="A717" s="11">
        <v>715</v>
      </c>
      <c r="B717" s="12" t="s">
        <v>1378</v>
      </c>
      <c r="C717" s="37" t="s">
        <v>1379</v>
      </c>
      <c r="D717" s="14" t="s">
        <v>2319</v>
      </c>
      <c r="E717" s="15" t="s">
        <v>197</v>
      </c>
    </row>
    <row r="718" spans="1:5" x14ac:dyDescent="0.45">
      <c r="A718" s="11">
        <v>716</v>
      </c>
      <c r="B718" s="12" t="s">
        <v>1380</v>
      </c>
      <c r="C718" s="37" t="s">
        <v>1381</v>
      </c>
      <c r="D718" s="14" t="s">
        <v>2319</v>
      </c>
      <c r="E718" s="15" t="s">
        <v>197</v>
      </c>
    </row>
    <row r="719" spans="1:5" x14ac:dyDescent="0.45">
      <c r="A719" s="11">
        <v>717</v>
      </c>
      <c r="B719" s="12" t="s">
        <v>1382</v>
      </c>
      <c r="C719" s="37" t="s">
        <v>1383</v>
      </c>
      <c r="D719" s="14" t="s">
        <v>2319</v>
      </c>
      <c r="E719" s="15" t="s">
        <v>197</v>
      </c>
    </row>
    <row r="720" spans="1:5" x14ac:dyDescent="0.45">
      <c r="A720" s="11">
        <v>718</v>
      </c>
      <c r="B720" s="12" t="s">
        <v>1384</v>
      </c>
      <c r="C720" s="37" t="s">
        <v>1385</v>
      </c>
      <c r="D720" s="14" t="s">
        <v>2319</v>
      </c>
      <c r="E720" s="15" t="s">
        <v>197</v>
      </c>
    </row>
    <row r="721" spans="1:5" x14ac:dyDescent="0.45">
      <c r="A721" s="11">
        <v>719</v>
      </c>
      <c r="B721" s="12" t="s">
        <v>1386</v>
      </c>
      <c r="C721" s="37" t="s">
        <v>1387</v>
      </c>
      <c r="D721" s="14" t="s">
        <v>2319</v>
      </c>
      <c r="E721" s="15" t="s">
        <v>197</v>
      </c>
    </row>
    <row r="722" spans="1:5" x14ac:dyDescent="0.45">
      <c r="A722" s="11">
        <v>720</v>
      </c>
      <c r="B722" s="12" t="s">
        <v>1388</v>
      </c>
      <c r="C722" s="37" t="s">
        <v>1389</v>
      </c>
      <c r="D722" s="14" t="s">
        <v>2319</v>
      </c>
      <c r="E722" s="15" t="s">
        <v>2317</v>
      </c>
    </row>
    <row r="723" spans="1:5" x14ac:dyDescent="0.45">
      <c r="A723" s="16">
        <v>721</v>
      </c>
      <c r="B723" s="17" t="s">
        <v>1390</v>
      </c>
      <c r="C723" s="38" t="s">
        <v>1391</v>
      </c>
      <c r="D723" s="19" t="s">
        <v>2319</v>
      </c>
      <c r="E723" s="20" t="s">
        <v>379</v>
      </c>
    </row>
    <row r="724" spans="1:5" x14ac:dyDescent="0.45">
      <c r="A724" s="16">
        <v>722</v>
      </c>
      <c r="B724" s="17" t="s">
        <v>1392</v>
      </c>
      <c r="C724" s="38" t="s">
        <v>1393</v>
      </c>
      <c r="D724" s="19" t="s">
        <v>2319</v>
      </c>
      <c r="E724" s="20" t="s">
        <v>379</v>
      </c>
    </row>
    <row r="725" spans="1:5" ht="23.25" customHeight="1" x14ac:dyDescent="0.45">
      <c r="A725" s="16">
        <v>723</v>
      </c>
      <c r="B725" s="17" t="s">
        <v>1394</v>
      </c>
      <c r="C725" s="38" t="s">
        <v>1395</v>
      </c>
      <c r="D725" s="19" t="s">
        <v>2319</v>
      </c>
      <c r="E725" s="20" t="s">
        <v>379</v>
      </c>
    </row>
    <row r="726" spans="1:5" ht="23.25" customHeight="1" x14ac:dyDescent="0.45">
      <c r="A726" s="16">
        <v>724</v>
      </c>
      <c r="B726" s="17" t="s">
        <v>1396</v>
      </c>
      <c r="C726" s="38" t="s">
        <v>1397</v>
      </c>
      <c r="D726" s="19" t="s">
        <v>2319</v>
      </c>
      <c r="E726" s="20" t="s">
        <v>379</v>
      </c>
    </row>
    <row r="727" spans="1:5" x14ac:dyDescent="0.45">
      <c r="A727" s="16">
        <v>725</v>
      </c>
      <c r="B727" s="17" t="s">
        <v>1398</v>
      </c>
      <c r="C727" s="38" t="s">
        <v>1399</v>
      </c>
      <c r="D727" s="19" t="s">
        <v>2319</v>
      </c>
      <c r="E727" s="20" t="s">
        <v>379</v>
      </c>
    </row>
    <row r="728" spans="1:5" x14ac:dyDescent="0.45">
      <c r="A728" s="16">
        <v>726</v>
      </c>
      <c r="B728" s="17" t="s">
        <v>1400</v>
      </c>
      <c r="C728" s="18"/>
      <c r="D728" s="19" t="s">
        <v>2319</v>
      </c>
      <c r="E728" s="20" t="s">
        <v>379</v>
      </c>
    </row>
    <row r="729" spans="1:5" x14ac:dyDescent="0.45">
      <c r="A729" s="16">
        <v>727</v>
      </c>
      <c r="B729" s="17" t="s">
        <v>1401</v>
      </c>
      <c r="C729" s="38" t="s">
        <v>1402</v>
      </c>
      <c r="D729" s="19" t="s">
        <v>2319</v>
      </c>
      <c r="E729" s="20" t="s">
        <v>379</v>
      </c>
    </row>
  </sheetData>
  <autoFilter ref="A2:F729" xr:uid="{00000000-0001-0000-0100-000000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463"/>
  <sheetViews>
    <sheetView workbookViewId="0">
      <pane ySplit="2" topLeftCell="A65" activePane="bottomLeft" state="frozen"/>
      <selection pane="bottomLeft" activeCell="A65" sqref="A65:XFD193"/>
    </sheetView>
  </sheetViews>
  <sheetFormatPr defaultRowHeight="14.25" x14ac:dyDescent="0.45"/>
  <cols>
    <col min="1" max="1" width="6" customWidth="1"/>
    <col min="2" max="2" width="40" customWidth="1"/>
    <col min="3" max="3" width="55" customWidth="1"/>
    <col min="4" max="4" width="40" customWidth="1"/>
    <col min="5" max="5" width="42" customWidth="1"/>
    <col min="6" max="6" width="30" customWidth="1"/>
    <col min="7" max="7" width="28" customWidth="1"/>
  </cols>
  <sheetData>
    <row r="1" spans="1:7" ht="28.05" customHeight="1" x14ac:dyDescent="0.45">
      <c r="A1" s="72" t="s">
        <v>1407</v>
      </c>
      <c r="B1" s="68"/>
      <c r="C1" s="68"/>
      <c r="D1" s="68"/>
      <c r="E1" s="68"/>
      <c r="F1" s="68"/>
    </row>
    <row r="2" spans="1:7" ht="22.05" customHeight="1" x14ac:dyDescent="0.45">
      <c r="A2" s="33" t="s">
        <v>1</v>
      </c>
      <c r="B2" s="33" t="s">
        <v>2</v>
      </c>
      <c r="C2" s="33" t="s">
        <v>3</v>
      </c>
      <c r="D2" s="33" t="s">
        <v>1408</v>
      </c>
      <c r="E2" s="33" t="s">
        <v>4</v>
      </c>
      <c r="F2" s="33" t="s">
        <v>1409</v>
      </c>
      <c r="G2" s="33" t="s">
        <v>1410</v>
      </c>
    </row>
    <row r="3" spans="1:7" ht="28.5" hidden="1" customHeight="1" x14ac:dyDescent="0.45">
      <c r="A3" s="27">
        <v>1</v>
      </c>
      <c r="B3" s="28" t="s">
        <v>1411</v>
      </c>
      <c r="C3" s="34" t="s">
        <v>1412</v>
      </c>
      <c r="D3" s="29" t="s">
        <v>1413</v>
      </c>
      <c r="E3" s="28" t="s">
        <v>9</v>
      </c>
      <c r="F3" s="28" t="s">
        <v>1414</v>
      </c>
      <c r="G3" s="28"/>
    </row>
    <row r="4" spans="1:7" ht="42.75" hidden="1" customHeight="1" x14ac:dyDescent="0.45">
      <c r="A4" s="30">
        <v>2</v>
      </c>
      <c r="B4" s="31" t="s">
        <v>1415</v>
      </c>
      <c r="C4" s="35" t="s">
        <v>1416</v>
      </c>
      <c r="D4" s="32" t="s">
        <v>1413</v>
      </c>
      <c r="E4" s="31" t="s">
        <v>9</v>
      </c>
      <c r="F4" s="31" t="s">
        <v>1414</v>
      </c>
      <c r="G4" s="31"/>
    </row>
    <row r="5" spans="1:7" hidden="1" x14ac:dyDescent="0.45">
      <c r="A5" s="27">
        <v>3</v>
      </c>
      <c r="B5" s="28" t="s">
        <v>1417</v>
      </c>
      <c r="C5" s="34" t="s">
        <v>1418</v>
      </c>
      <c r="D5" s="29" t="s">
        <v>1413</v>
      </c>
      <c r="E5" s="28" t="s">
        <v>9</v>
      </c>
      <c r="F5" s="28" t="s">
        <v>1419</v>
      </c>
      <c r="G5" s="28"/>
    </row>
    <row r="6" spans="1:7" hidden="1" x14ac:dyDescent="0.45">
      <c r="A6" s="30">
        <v>4</v>
      </c>
      <c r="B6" s="31" t="s">
        <v>1420</v>
      </c>
      <c r="C6" s="35" t="s">
        <v>1421</v>
      </c>
      <c r="D6" s="32" t="s">
        <v>1422</v>
      </c>
      <c r="E6" s="31" t="s">
        <v>152</v>
      </c>
      <c r="F6" s="31" t="s">
        <v>1419</v>
      </c>
      <c r="G6" s="31"/>
    </row>
    <row r="7" spans="1:7" hidden="1" x14ac:dyDescent="0.45">
      <c r="A7" s="27">
        <v>5</v>
      </c>
      <c r="B7" s="28" t="s">
        <v>1423</v>
      </c>
      <c r="C7" s="34" t="s">
        <v>1424</v>
      </c>
      <c r="D7" s="29" t="s">
        <v>1425</v>
      </c>
      <c r="E7" s="28" t="s">
        <v>152</v>
      </c>
      <c r="F7" s="28" t="s">
        <v>1426</v>
      </c>
      <c r="G7" s="28"/>
    </row>
    <row r="8" spans="1:7" hidden="1" x14ac:dyDescent="0.45">
      <c r="A8" s="30">
        <v>6</v>
      </c>
      <c r="B8" s="31" t="s">
        <v>1427</v>
      </c>
      <c r="C8" s="35" t="s">
        <v>1428</v>
      </c>
      <c r="D8" s="32" t="s">
        <v>1429</v>
      </c>
      <c r="E8" s="31" t="s">
        <v>152</v>
      </c>
      <c r="F8" s="31" t="s">
        <v>1430</v>
      </c>
      <c r="G8" s="31"/>
    </row>
    <row r="9" spans="1:7" hidden="1" x14ac:dyDescent="0.45">
      <c r="A9" s="27">
        <v>7</v>
      </c>
      <c r="B9" s="28" t="s">
        <v>1431</v>
      </c>
      <c r="C9" s="34" t="s">
        <v>1432</v>
      </c>
      <c r="D9" s="29" t="s">
        <v>1429</v>
      </c>
      <c r="E9" s="28" t="s">
        <v>152</v>
      </c>
      <c r="F9" s="28" t="s">
        <v>1430</v>
      </c>
      <c r="G9" s="28"/>
    </row>
    <row r="10" spans="1:7" hidden="1" x14ac:dyDescent="0.45">
      <c r="A10" s="30">
        <v>8</v>
      </c>
      <c r="B10" s="31" t="s">
        <v>1433</v>
      </c>
      <c r="C10" s="35" t="s">
        <v>1434</v>
      </c>
      <c r="D10" s="32" t="s">
        <v>1429</v>
      </c>
      <c r="E10" s="31" t="s">
        <v>152</v>
      </c>
      <c r="F10" s="31" t="s">
        <v>1435</v>
      </c>
      <c r="G10" s="31"/>
    </row>
    <row r="11" spans="1:7" hidden="1" x14ac:dyDescent="0.45">
      <c r="A11" s="27">
        <v>9</v>
      </c>
      <c r="B11" s="28" t="s">
        <v>1436</v>
      </c>
      <c r="C11" s="34" t="s">
        <v>1437</v>
      </c>
      <c r="D11" s="29" t="s">
        <v>1429</v>
      </c>
      <c r="E11" s="28" t="s">
        <v>152</v>
      </c>
      <c r="F11" s="28" t="s">
        <v>1435</v>
      </c>
      <c r="G11" s="28"/>
    </row>
    <row r="12" spans="1:7" hidden="1" x14ac:dyDescent="0.45">
      <c r="A12" s="30">
        <v>10</v>
      </c>
      <c r="B12" s="31" t="s">
        <v>1438</v>
      </c>
      <c r="C12" s="35" t="s">
        <v>1439</v>
      </c>
      <c r="D12" s="32" t="s">
        <v>1429</v>
      </c>
      <c r="E12" s="31" t="s">
        <v>152</v>
      </c>
      <c r="F12" s="31" t="s">
        <v>1435</v>
      </c>
      <c r="G12" s="31"/>
    </row>
    <row r="13" spans="1:7" hidden="1" x14ac:dyDescent="0.45">
      <c r="A13" s="27">
        <v>11</v>
      </c>
      <c r="B13" s="28" t="s">
        <v>1440</v>
      </c>
      <c r="C13" s="34" t="s">
        <v>1441</v>
      </c>
      <c r="D13" s="29" t="s">
        <v>1429</v>
      </c>
      <c r="E13" s="28" t="s">
        <v>152</v>
      </c>
      <c r="F13" s="28" t="s">
        <v>1435</v>
      </c>
      <c r="G13" s="28"/>
    </row>
    <row r="14" spans="1:7" hidden="1" x14ac:dyDescent="0.45">
      <c r="A14" s="30">
        <v>12</v>
      </c>
      <c r="B14" s="31" t="s">
        <v>1442</v>
      </c>
      <c r="C14" s="35" t="s">
        <v>1443</v>
      </c>
      <c r="D14" s="32" t="s">
        <v>1429</v>
      </c>
      <c r="E14" s="31" t="s">
        <v>152</v>
      </c>
      <c r="F14" s="31" t="s">
        <v>1435</v>
      </c>
      <c r="G14" s="31"/>
    </row>
    <row r="15" spans="1:7" hidden="1" x14ac:dyDescent="0.45">
      <c r="A15" s="27">
        <v>13</v>
      </c>
      <c r="B15" s="28" t="s">
        <v>1444</v>
      </c>
      <c r="C15" s="34" t="s">
        <v>1445</v>
      </c>
      <c r="D15" s="29" t="s">
        <v>1446</v>
      </c>
      <c r="E15" s="28" t="s">
        <v>152</v>
      </c>
      <c r="F15" s="28" t="s">
        <v>1447</v>
      </c>
      <c r="G15" s="28"/>
    </row>
    <row r="16" spans="1:7" hidden="1" x14ac:dyDescent="0.45">
      <c r="A16" s="30">
        <v>14</v>
      </c>
      <c r="B16" s="31" t="s">
        <v>1448</v>
      </c>
      <c r="C16" s="35" t="s">
        <v>1449</v>
      </c>
      <c r="D16" s="32" t="s">
        <v>1446</v>
      </c>
      <c r="E16" s="31" t="s">
        <v>152</v>
      </c>
      <c r="F16" s="31" t="s">
        <v>1447</v>
      </c>
      <c r="G16" s="31"/>
    </row>
    <row r="17" spans="1:7" hidden="1" x14ac:dyDescent="0.45">
      <c r="A17" s="27">
        <v>15</v>
      </c>
      <c r="B17" s="28" t="s">
        <v>1450</v>
      </c>
      <c r="C17" s="34" t="s">
        <v>1451</v>
      </c>
      <c r="D17" s="29" t="s">
        <v>1446</v>
      </c>
      <c r="E17" s="28" t="s">
        <v>152</v>
      </c>
      <c r="F17" s="28" t="s">
        <v>1451</v>
      </c>
      <c r="G17" s="28"/>
    </row>
    <row r="18" spans="1:7" hidden="1" x14ac:dyDescent="0.45">
      <c r="A18" s="30">
        <v>16</v>
      </c>
      <c r="B18" s="31" t="s">
        <v>1452</v>
      </c>
      <c r="C18" s="35" t="s">
        <v>1453</v>
      </c>
      <c r="D18" s="32" t="s">
        <v>1446</v>
      </c>
      <c r="E18" s="31" t="s">
        <v>152</v>
      </c>
      <c r="F18" s="31" t="s">
        <v>1451</v>
      </c>
      <c r="G18" s="31"/>
    </row>
    <row r="19" spans="1:7" hidden="1" x14ac:dyDescent="0.45">
      <c r="A19" s="27">
        <v>17</v>
      </c>
      <c r="B19" s="28" t="s">
        <v>1454</v>
      </c>
      <c r="C19" s="34" t="s">
        <v>1455</v>
      </c>
      <c r="D19" s="29" t="s">
        <v>1446</v>
      </c>
      <c r="E19" s="28" t="s">
        <v>152</v>
      </c>
      <c r="F19" s="28" t="s">
        <v>1451</v>
      </c>
      <c r="G19" s="28"/>
    </row>
    <row r="20" spans="1:7" hidden="1" x14ac:dyDescent="0.45">
      <c r="A20" s="30">
        <v>18</v>
      </c>
      <c r="B20" s="31" t="s">
        <v>1456</v>
      </c>
      <c r="C20" s="35" t="s">
        <v>1457</v>
      </c>
      <c r="D20" s="32" t="s">
        <v>1458</v>
      </c>
      <c r="E20" s="31" t="s">
        <v>152</v>
      </c>
      <c r="F20" s="31" t="s">
        <v>1447</v>
      </c>
      <c r="G20" s="31"/>
    </row>
    <row r="21" spans="1:7" hidden="1" x14ac:dyDescent="0.45">
      <c r="A21" s="27">
        <v>19</v>
      </c>
      <c r="B21" s="28" t="s">
        <v>1459</v>
      </c>
      <c r="C21" s="34" t="s">
        <v>1460</v>
      </c>
      <c r="D21" s="29" t="s">
        <v>1458</v>
      </c>
      <c r="E21" s="28" t="s">
        <v>152</v>
      </c>
      <c r="F21" s="28" t="s">
        <v>1447</v>
      </c>
      <c r="G21" s="28"/>
    </row>
    <row r="22" spans="1:7" hidden="1" x14ac:dyDescent="0.45">
      <c r="A22" s="30">
        <v>20</v>
      </c>
      <c r="B22" s="31" t="s">
        <v>1461</v>
      </c>
      <c r="C22" s="35" t="s">
        <v>1462</v>
      </c>
      <c r="D22" s="32" t="s">
        <v>1458</v>
      </c>
      <c r="E22" s="31" t="s">
        <v>152</v>
      </c>
      <c r="F22" s="31" t="s">
        <v>1447</v>
      </c>
      <c r="G22" s="31"/>
    </row>
    <row r="23" spans="1:7" hidden="1" x14ac:dyDescent="0.45">
      <c r="A23" s="27">
        <v>21</v>
      </c>
      <c r="B23" s="28" t="s">
        <v>1463</v>
      </c>
      <c r="C23" s="34" t="s">
        <v>1464</v>
      </c>
      <c r="D23" s="29" t="s">
        <v>1458</v>
      </c>
      <c r="E23" s="28" t="s">
        <v>152</v>
      </c>
      <c r="F23" s="28" t="s">
        <v>1419</v>
      </c>
      <c r="G23" s="28"/>
    </row>
    <row r="24" spans="1:7" hidden="1" x14ac:dyDescent="0.45">
      <c r="A24" s="30">
        <v>22</v>
      </c>
      <c r="B24" s="31" t="s">
        <v>1465</v>
      </c>
      <c r="C24" s="35" t="s">
        <v>1466</v>
      </c>
      <c r="D24" s="32" t="s">
        <v>1458</v>
      </c>
      <c r="E24" s="31" t="s">
        <v>152</v>
      </c>
      <c r="F24" s="31" t="s">
        <v>1447</v>
      </c>
      <c r="G24" s="31"/>
    </row>
    <row r="25" spans="1:7" hidden="1" x14ac:dyDescent="0.45">
      <c r="A25" s="27">
        <v>23</v>
      </c>
      <c r="B25" s="28" t="s">
        <v>1467</v>
      </c>
      <c r="C25" s="34" t="s">
        <v>1468</v>
      </c>
      <c r="D25" s="29" t="s">
        <v>1458</v>
      </c>
      <c r="E25" s="28" t="s">
        <v>152</v>
      </c>
      <c r="F25" s="28" t="s">
        <v>1447</v>
      </c>
      <c r="G25" s="28"/>
    </row>
    <row r="26" spans="1:7" hidden="1" x14ac:dyDescent="0.45">
      <c r="A26" s="30">
        <v>24</v>
      </c>
      <c r="B26" s="31" t="s">
        <v>1469</v>
      </c>
      <c r="C26" s="35" t="s">
        <v>1470</v>
      </c>
      <c r="D26" s="32" t="s">
        <v>1471</v>
      </c>
      <c r="E26" s="31" t="s">
        <v>152</v>
      </c>
      <c r="F26" s="31" t="s">
        <v>1472</v>
      </c>
      <c r="G26" s="31"/>
    </row>
    <row r="27" spans="1:7" hidden="1" x14ac:dyDescent="0.45">
      <c r="A27" s="27">
        <v>25</v>
      </c>
      <c r="B27" s="28" t="s">
        <v>1473</v>
      </c>
      <c r="C27" s="34" t="s">
        <v>1474</v>
      </c>
      <c r="D27" s="29" t="s">
        <v>1471</v>
      </c>
      <c r="E27" s="28" t="s">
        <v>152</v>
      </c>
      <c r="F27" s="28" t="s">
        <v>1472</v>
      </c>
      <c r="G27" s="28"/>
    </row>
    <row r="28" spans="1:7" hidden="1" x14ac:dyDescent="0.45">
      <c r="A28" s="30">
        <v>26</v>
      </c>
      <c r="B28" s="31" t="s">
        <v>1475</v>
      </c>
      <c r="C28" s="35" t="s">
        <v>1476</v>
      </c>
      <c r="D28" s="32" t="s">
        <v>1471</v>
      </c>
      <c r="E28" s="31" t="s">
        <v>152</v>
      </c>
      <c r="F28" s="31" t="s">
        <v>1477</v>
      </c>
      <c r="G28" s="31"/>
    </row>
    <row r="29" spans="1:7" hidden="1" x14ac:dyDescent="0.45">
      <c r="A29" s="27">
        <v>27</v>
      </c>
      <c r="B29" s="28" t="s">
        <v>1478</v>
      </c>
      <c r="C29" s="34" t="s">
        <v>1479</v>
      </c>
      <c r="D29" s="29" t="s">
        <v>1471</v>
      </c>
      <c r="E29" s="28" t="s">
        <v>152</v>
      </c>
      <c r="F29" s="28" t="s">
        <v>1472</v>
      </c>
      <c r="G29" s="28"/>
    </row>
    <row r="30" spans="1:7" hidden="1" x14ac:dyDescent="0.45">
      <c r="A30" s="30">
        <v>28</v>
      </c>
      <c r="B30" s="31" t="s">
        <v>1480</v>
      </c>
      <c r="C30" s="35" t="s">
        <v>1481</v>
      </c>
      <c r="D30" s="32" t="s">
        <v>1471</v>
      </c>
      <c r="E30" s="31" t="s">
        <v>152</v>
      </c>
      <c r="F30" s="31" t="s">
        <v>1472</v>
      </c>
      <c r="G30" s="31"/>
    </row>
    <row r="31" spans="1:7" hidden="1" x14ac:dyDescent="0.45">
      <c r="A31" s="27">
        <v>29</v>
      </c>
      <c r="B31" s="28" t="s">
        <v>1482</v>
      </c>
      <c r="C31" s="34" t="s">
        <v>1483</v>
      </c>
      <c r="D31" s="29" t="s">
        <v>1471</v>
      </c>
      <c r="E31" s="28" t="s">
        <v>152</v>
      </c>
      <c r="F31" s="28" t="s">
        <v>1419</v>
      </c>
      <c r="G31" s="28"/>
    </row>
    <row r="32" spans="1:7" hidden="1" x14ac:dyDescent="0.45">
      <c r="A32" s="30">
        <v>30</v>
      </c>
      <c r="B32" s="31" t="s">
        <v>1484</v>
      </c>
      <c r="C32" s="35" t="s">
        <v>1485</v>
      </c>
      <c r="D32" s="32" t="s">
        <v>1471</v>
      </c>
      <c r="E32" s="31" t="s">
        <v>152</v>
      </c>
      <c r="F32" s="31" t="s">
        <v>1477</v>
      </c>
      <c r="G32" s="31"/>
    </row>
    <row r="33" spans="1:7" hidden="1" x14ac:dyDescent="0.45">
      <c r="A33" s="27">
        <v>31</v>
      </c>
      <c r="B33" s="28" t="s">
        <v>1486</v>
      </c>
      <c r="C33" s="34" t="s">
        <v>1487</v>
      </c>
      <c r="D33" s="29" t="s">
        <v>1471</v>
      </c>
      <c r="E33" s="28" t="s">
        <v>152</v>
      </c>
      <c r="F33" s="28" t="s">
        <v>1472</v>
      </c>
      <c r="G33" s="28"/>
    </row>
    <row r="34" spans="1:7" hidden="1" x14ac:dyDescent="0.45">
      <c r="A34" s="30">
        <v>32</v>
      </c>
      <c r="B34" s="31" t="s">
        <v>1488</v>
      </c>
      <c r="C34" s="35" t="s">
        <v>1489</v>
      </c>
      <c r="D34" s="32" t="s">
        <v>1471</v>
      </c>
      <c r="E34" s="31" t="s">
        <v>152</v>
      </c>
      <c r="F34" s="31" t="s">
        <v>1472</v>
      </c>
      <c r="G34" s="31"/>
    </row>
    <row r="35" spans="1:7" hidden="1" x14ac:dyDescent="0.45">
      <c r="A35" s="27">
        <v>33</v>
      </c>
      <c r="B35" s="28" t="s">
        <v>1490</v>
      </c>
      <c r="C35" s="34" t="s">
        <v>1491</v>
      </c>
      <c r="D35" s="29" t="s">
        <v>1471</v>
      </c>
      <c r="E35" s="28" t="s">
        <v>152</v>
      </c>
      <c r="F35" s="28" t="s">
        <v>1472</v>
      </c>
      <c r="G35" s="28"/>
    </row>
    <row r="36" spans="1:7" hidden="1" x14ac:dyDescent="0.45">
      <c r="A36" s="30">
        <v>34</v>
      </c>
      <c r="B36" s="31" t="s">
        <v>1492</v>
      </c>
      <c r="C36" s="35" t="s">
        <v>1493</v>
      </c>
      <c r="D36" s="32" t="s">
        <v>1471</v>
      </c>
      <c r="E36" s="31" t="s">
        <v>152</v>
      </c>
      <c r="F36" s="31" t="s">
        <v>1472</v>
      </c>
      <c r="G36" s="31"/>
    </row>
    <row r="37" spans="1:7" hidden="1" x14ac:dyDescent="0.45">
      <c r="A37" s="27">
        <v>35</v>
      </c>
      <c r="B37" s="28" t="s">
        <v>1494</v>
      </c>
      <c r="C37" s="34" t="s">
        <v>1495</v>
      </c>
      <c r="D37" s="29" t="s">
        <v>1471</v>
      </c>
      <c r="E37" s="28" t="s">
        <v>152</v>
      </c>
      <c r="F37" s="28" t="s">
        <v>1472</v>
      </c>
      <c r="G37" s="28"/>
    </row>
    <row r="38" spans="1:7" hidden="1" x14ac:dyDescent="0.45">
      <c r="A38" s="30">
        <v>36</v>
      </c>
      <c r="B38" s="31" t="s">
        <v>1496</v>
      </c>
      <c r="C38" s="35" t="s">
        <v>1497</v>
      </c>
      <c r="D38" s="32" t="s">
        <v>1471</v>
      </c>
      <c r="E38" s="31" t="s">
        <v>152</v>
      </c>
      <c r="F38" s="31" t="s">
        <v>1430</v>
      </c>
      <c r="G38" s="31"/>
    </row>
    <row r="39" spans="1:7" hidden="1" x14ac:dyDescent="0.45">
      <c r="A39" s="27">
        <v>37</v>
      </c>
      <c r="B39" s="28" t="s">
        <v>1498</v>
      </c>
      <c r="C39" s="34" t="s">
        <v>1499</v>
      </c>
      <c r="D39" s="29" t="s">
        <v>1471</v>
      </c>
      <c r="E39" s="28" t="s">
        <v>152</v>
      </c>
      <c r="F39" s="28" t="s">
        <v>1430</v>
      </c>
      <c r="G39" s="28"/>
    </row>
    <row r="40" spans="1:7" hidden="1" x14ac:dyDescent="0.45">
      <c r="A40" s="30">
        <v>38</v>
      </c>
      <c r="B40" s="31" t="s">
        <v>1500</v>
      </c>
      <c r="C40" s="35" t="s">
        <v>1501</v>
      </c>
      <c r="D40" s="32" t="s">
        <v>1471</v>
      </c>
      <c r="E40" s="31" t="s">
        <v>152</v>
      </c>
      <c r="F40" s="31" t="s">
        <v>1430</v>
      </c>
      <c r="G40" s="31"/>
    </row>
    <row r="41" spans="1:7" hidden="1" x14ac:dyDescent="0.45">
      <c r="A41" s="27">
        <v>39</v>
      </c>
      <c r="B41" s="28" t="s">
        <v>1502</v>
      </c>
      <c r="C41" s="34" t="s">
        <v>1503</v>
      </c>
      <c r="D41" s="29" t="s">
        <v>1471</v>
      </c>
      <c r="E41" s="28" t="s">
        <v>152</v>
      </c>
      <c r="F41" s="28" t="s">
        <v>1430</v>
      </c>
      <c r="G41" s="28"/>
    </row>
    <row r="42" spans="1:7" hidden="1" x14ac:dyDescent="0.45">
      <c r="A42" s="30">
        <v>40</v>
      </c>
      <c r="B42" s="31" t="s">
        <v>1504</v>
      </c>
      <c r="C42" s="35" t="s">
        <v>1505</v>
      </c>
      <c r="D42" s="32" t="s">
        <v>1471</v>
      </c>
      <c r="E42" s="31" t="s">
        <v>152</v>
      </c>
      <c r="F42" s="31" t="s">
        <v>1506</v>
      </c>
      <c r="G42" s="31"/>
    </row>
    <row r="43" spans="1:7" hidden="1" x14ac:dyDescent="0.45">
      <c r="A43" s="27">
        <v>41</v>
      </c>
      <c r="B43" s="28" t="s">
        <v>1507</v>
      </c>
      <c r="C43" s="34" t="s">
        <v>1508</v>
      </c>
      <c r="D43" s="29" t="s">
        <v>1509</v>
      </c>
      <c r="E43" s="28" t="s">
        <v>1510</v>
      </c>
      <c r="F43" s="28" t="s">
        <v>1506</v>
      </c>
      <c r="G43" s="28"/>
    </row>
    <row r="44" spans="1:7" hidden="1" x14ac:dyDescent="0.45">
      <c r="A44" s="30">
        <v>42</v>
      </c>
      <c r="B44" s="31" t="s">
        <v>1511</v>
      </c>
      <c r="C44" s="35" t="s">
        <v>1512</v>
      </c>
      <c r="D44" s="32" t="s">
        <v>1509</v>
      </c>
      <c r="E44" s="31" t="s">
        <v>1510</v>
      </c>
      <c r="F44" s="31" t="s">
        <v>1426</v>
      </c>
      <c r="G44" s="31"/>
    </row>
    <row r="45" spans="1:7" hidden="1" x14ac:dyDescent="0.45">
      <c r="A45" s="27">
        <v>43</v>
      </c>
      <c r="B45" s="28" t="s">
        <v>1513</v>
      </c>
      <c r="C45" s="34" t="s">
        <v>1514</v>
      </c>
      <c r="D45" s="29" t="s">
        <v>1509</v>
      </c>
      <c r="E45" s="28" t="s">
        <v>1510</v>
      </c>
      <c r="F45" s="28" t="s">
        <v>1477</v>
      </c>
      <c r="G45" s="28"/>
    </row>
    <row r="46" spans="1:7" hidden="1" x14ac:dyDescent="0.45">
      <c r="A46" s="30">
        <v>44</v>
      </c>
      <c r="B46" s="31" t="s">
        <v>1515</v>
      </c>
      <c r="C46" s="35" t="s">
        <v>1516</v>
      </c>
      <c r="D46" s="32" t="s">
        <v>1509</v>
      </c>
      <c r="E46" s="31" t="s">
        <v>1510</v>
      </c>
      <c r="F46" s="31" t="s">
        <v>1477</v>
      </c>
      <c r="G46" s="31"/>
    </row>
    <row r="47" spans="1:7" hidden="1" x14ac:dyDescent="0.45">
      <c r="A47" s="27">
        <v>45</v>
      </c>
      <c r="B47" s="28" t="s">
        <v>1517</v>
      </c>
      <c r="C47" s="34" t="s">
        <v>1518</v>
      </c>
      <c r="D47" s="29" t="s">
        <v>1509</v>
      </c>
      <c r="E47" s="28" t="s">
        <v>1510</v>
      </c>
      <c r="F47" s="28" t="s">
        <v>1419</v>
      </c>
      <c r="G47" s="28"/>
    </row>
    <row r="48" spans="1:7" hidden="1" x14ac:dyDescent="0.45">
      <c r="A48" s="30">
        <v>46</v>
      </c>
      <c r="B48" s="31" t="s">
        <v>1519</v>
      </c>
      <c r="C48" s="35" t="s">
        <v>162</v>
      </c>
      <c r="D48" s="32" t="s">
        <v>1509</v>
      </c>
      <c r="E48" s="31" t="s">
        <v>1510</v>
      </c>
      <c r="F48" s="31" t="s">
        <v>1472</v>
      </c>
      <c r="G48" s="31"/>
    </row>
    <row r="49" spans="1:7" hidden="1" x14ac:dyDescent="0.45">
      <c r="A49" s="27">
        <v>47</v>
      </c>
      <c r="B49" s="28" t="s">
        <v>1520</v>
      </c>
      <c r="C49" s="34" t="s">
        <v>1521</v>
      </c>
      <c r="D49" s="29" t="s">
        <v>1509</v>
      </c>
      <c r="E49" s="28" t="s">
        <v>1510</v>
      </c>
      <c r="F49" s="28" t="s">
        <v>1472</v>
      </c>
      <c r="G49" s="28"/>
    </row>
    <row r="50" spans="1:7" hidden="1" x14ac:dyDescent="0.45">
      <c r="A50" s="30">
        <v>48</v>
      </c>
      <c r="B50" s="31" t="s">
        <v>1522</v>
      </c>
      <c r="C50" s="35" t="s">
        <v>1523</v>
      </c>
      <c r="D50" s="32" t="s">
        <v>1509</v>
      </c>
      <c r="E50" s="31" t="s">
        <v>1510</v>
      </c>
      <c r="F50" s="31" t="s">
        <v>1472</v>
      </c>
      <c r="G50" s="31"/>
    </row>
    <row r="51" spans="1:7" hidden="1" x14ac:dyDescent="0.45">
      <c r="A51" s="27">
        <v>49</v>
      </c>
      <c r="B51" s="28" t="s">
        <v>1524</v>
      </c>
      <c r="C51" s="34" t="s">
        <v>1525</v>
      </c>
      <c r="D51" s="29" t="s">
        <v>1509</v>
      </c>
      <c r="E51" s="28" t="s">
        <v>1510</v>
      </c>
      <c r="F51" s="28" t="s">
        <v>1506</v>
      </c>
      <c r="G51" s="28"/>
    </row>
    <row r="52" spans="1:7" hidden="1" x14ac:dyDescent="0.45">
      <c r="A52" s="30">
        <v>50</v>
      </c>
      <c r="B52" s="31" t="s">
        <v>1526</v>
      </c>
      <c r="C52" s="35" t="s">
        <v>1527</v>
      </c>
      <c r="D52" s="32" t="s">
        <v>1509</v>
      </c>
      <c r="E52" s="31" t="s">
        <v>1510</v>
      </c>
      <c r="F52" s="31" t="s">
        <v>1477</v>
      </c>
      <c r="G52" s="31"/>
    </row>
    <row r="53" spans="1:7" hidden="1" x14ac:dyDescent="0.45">
      <c r="A53" s="27">
        <v>51</v>
      </c>
      <c r="B53" s="28" t="s">
        <v>1528</v>
      </c>
      <c r="C53" s="34" t="s">
        <v>1529</v>
      </c>
      <c r="D53" s="29" t="s">
        <v>1509</v>
      </c>
      <c r="E53" s="28" t="s">
        <v>1510</v>
      </c>
      <c r="F53" s="28" t="s">
        <v>1414</v>
      </c>
      <c r="G53" s="28"/>
    </row>
    <row r="54" spans="1:7" hidden="1" x14ac:dyDescent="0.45">
      <c r="A54" s="30">
        <v>52</v>
      </c>
      <c r="B54" s="31" t="s">
        <v>1530</v>
      </c>
      <c r="C54" s="35" t="s">
        <v>1531</v>
      </c>
      <c r="D54" s="32" t="s">
        <v>1509</v>
      </c>
      <c r="E54" s="31" t="s">
        <v>1510</v>
      </c>
      <c r="F54" s="31" t="s">
        <v>1435</v>
      </c>
      <c r="G54" s="31"/>
    </row>
    <row r="55" spans="1:7" hidden="1" x14ac:dyDescent="0.45">
      <c r="A55" s="27">
        <v>53</v>
      </c>
      <c r="B55" s="28" t="s">
        <v>1532</v>
      </c>
      <c r="C55" s="34" t="s">
        <v>1533</v>
      </c>
      <c r="D55" s="29" t="s">
        <v>1509</v>
      </c>
      <c r="E55" s="28" t="s">
        <v>1510</v>
      </c>
      <c r="F55" s="28" t="s">
        <v>1435</v>
      </c>
      <c r="G55" s="28"/>
    </row>
    <row r="56" spans="1:7" hidden="1" x14ac:dyDescent="0.45">
      <c r="A56" s="30">
        <v>54</v>
      </c>
      <c r="B56" s="31" t="s">
        <v>1534</v>
      </c>
      <c r="C56" s="35" t="s">
        <v>1535</v>
      </c>
      <c r="D56" s="32" t="s">
        <v>1509</v>
      </c>
      <c r="E56" s="31" t="s">
        <v>1510</v>
      </c>
      <c r="F56" s="31" t="s">
        <v>1430</v>
      </c>
      <c r="G56" s="31"/>
    </row>
    <row r="57" spans="1:7" hidden="1" x14ac:dyDescent="0.45">
      <c r="A57" s="27">
        <v>55</v>
      </c>
      <c r="B57" s="28" t="s">
        <v>1536</v>
      </c>
      <c r="C57" s="34" t="s">
        <v>1537</v>
      </c>
      <c r="D57" s="29" t="s">
        <v>1509</v>
      </c>
      <c r="E57" s="28" t="s">
        <v>1510</v>
      </c>
      <c r="F57" s="28" t="s">
        <v>1477</v>
      </c>
      <c r="G57" s="28"/>
    </row>
    <row r="58" spans="1:7" hidden="1" x14ac:dyDescent="0.45">
      <c r="A58" s="30">
        <v>56</v>
      </c>
      <c r="B58" s="31" t="s">
        <v>1538</v>
      </c>
      <c r="C58" s="35" t="s">
        <v>1539</v>
      </c>
      <c r="D58" s="32" t="s">
        <v>1509</v>
      </c>
      <c r="E58" s="31" t="s">
        <v>1510</v>
      </c>
      <c r="F58" s="31" t="s">
        <v>1506</v>
      </c>
      <c r="G58" s="31"/>
    </row>
    <row r="59" spans="1:7" hidden="1" x14ac:dyDescent="0.45">
      <c r="A59" s="27">
        <v>57</v>
      </c>
      <c r="B59" s="28" t="s">
        <v>1540</v>
      </c>
      <c r="C59" s="34" t="s">
        <v>1541</v>
      </c>
      <c r="D59" s="29" t="s">
        <v>1509</v>
      </c>
      <c r="E59" s="28" t="s">
        <v>1510</v>
      </c>
      <c r="F59" s="28" t="s">
        <v>1435</v>
      </c>
      <c r="G59" s="28"/>
    </row>
    <row r="60" spans="1:7" hidden="1" x14ac:dyDescent="0.45">
      <c r="A60" s="30">
        <v>58</v>
      </c>
      <c r="B60" s="31" t="s">
        <v>1542</v>
      </c>
      <c r="C60" s="35" t="s">
        <v>1543</v>
      </c>
      <c r="D60" s="32" t="s">
        <v>1509</v>
      </c>
      <c r="E60" s="31" t="s">
        <v>1510</v>
      </c>
      <c r="F60" s="31" t="s">
        <v>1430</v>
      </c>
      <c r="G60" s="31"/>
    </row>
    <row r="61" spans="1:7" hidden="1" x14ac:dyDescent="0.45">
      <c r="A61" s="27">
        <v>59</v>
      </c>
      <c r="B61" s="28" t="s">
        <v>1544</v>
      </c>
      <c r="C61" s="34" t="s">
        <v>1545</v>
      </c>
      <c r="D61" s="29" t="s">
        <v>1509</v>
      </c>
      <c r="E61" s="28" t="s">
        <v>1510</v>
      </c>
      <c r="F61" s="28" t="s">
        <v>1435</v>
      </c>
      <c r="G61" s="28"/>
    </row>
    <row r="62" spans="1:7" hidden="1" x14ac:dyDescent="0.45">
      <c r="A62" s="30">
        <v>60</v>
      </c>
      <c r="B62" s="31" t="s">
        <v>1546</v>
      </c>
      <c r="C62" s="35" t="s">
        <v>1547</v>
      </c>
      <c r="D62" s="32" t="s">
        <v>1509</v>
      </c>
      <c r="E62" s="31" t="s">
        <v>1510</v>
      </c>
      <c r="F62" s="31" t="s">
        <v>1435</v>
      </c>
      <c r="G62" s="31"/>
    </row>
    <row r="63" spans="1:7" hidden="1" x14ac:dyDescent="0.45">
      <c r="A63" s="27">
        <v>61</v>
      </c>
      <c r="B63" s="28" t="s">
        <v>1548</v>
      </c>
      <c r="C63" s="34" t="s">
        <v>1549</v>
      </c>
      <c r="D63" s="29" t="s">
        <v>1509</v>
      </c>
      <c r="E63" s="28" t="s">
        <v>1510</v>
      </c>
      <c r="F63" s="28" t="s">
        <v>1451</v>
      </c>
      <c r="G63" s="28"/>
    </row>
    <row r="64" spans="1:7" hidden="1" x14ac:dyDescent="0.45">
      <c r="A64" s="30">
        <v>62</v>
      </c>
      <c r="B64" s="31" t="s">
        <v>1550</v>
      </c>
      <c r="C64" s="35" t="s">
        <v>1551</v>
      </c>
      <c r="D64" s="32" t="s">
        <v>1509</v>
      </c>
      <c r="E64" s="31" t="s">
        <v>1510</v>
      </c>
      <c r="F64" s="31" t="s">
        <v>1477</v>
      </c>
      <c r="G64" s="31"/>
    </row>
    <row r="65" spans="1:7" x14ac:dyDescent="0.45">
      <c r="A65" s="27">
        <v>63</v>
      </c>
      <c r="B65" s="28" t="s">
        <v>1552</v>
      </c>
      <c r="C65" s="34" t="s">
        <v>1553</v>
      </c>
      <c r="D65" s="29" t="s">
        <v>1509</v>
      </c>
      <c r="E65" s="28" t="s">
        <v>1510</v>
      </c>
      <c r="F65" s="28" t="s">
        <v>1430</v>
      </c>
      <c r="G65" s="28"/>
    </row>
    <row r="66" spans="1:7" hidden="1" x14ac:dyDescent="0.45">
      <c r="A66" s="30">
        <v>64</v>
      </c>
      <c r="B66" s="31" t="s">
        <v>1554</v>
      </c>
      <c r="C66" s="35" t="s">
        <v>1555</v>
      </c>
      <c r="D66" s="32" t="s">
        <v>1509</v>
      </c>
      <c r="E66" s="31" t="s">
        <v>1510</v>
      </c>
      <c r="F66" s="31" t="s">
        <v>1430</v>
      </c>
      <c r="G66" s="31"/>
    </row>
    <row r="67" spans="1:7" hidden="1" x14ac:dyDescent="0.45">
      <c r="A67" s="27">
        <v>65</v>
      </c>
      <c r="B67" s="28" t="s">
        <v>1556</v>
      </c>
      <c r="C67" s="34" t="s">
        <v>1557</v>
      </c>
      <c r="D67" s="29" t="s">
        <v>1509</v>
      </c>
      <c r="E67" s="28" t="s">
        <v>1510</v>
      </c>
      <c r="F67" s="28" t="s">
        <v>1430</v>
      </c>
      <c r="G67" s="28"/>
    </row>
    <row r="68" spans="1:7" hidden="1" x14ac:dyDescent="0.45">
      <c r="A68" s="30">
        <v>66</v>
      </c>
      <c r="B68" s="31" t="s">
        <v>1558</v>
      </c>
      <c r="C68" s="35" t="s">
        <v>1559</v>
      </c>
      <c r="D68" s="32" t="s">
        <v>1509</v>
      </c>
      <c r="E68" s="31" t="s">
        <v>1510</v>
      </c>
      <c r="F68" s="31" t="s">
        <v>1430</v>
      </c>
      <c r="G68" s="31"/>
    </row>
    <row r="69" spans="1:7" hidden="1" x14ac:dyDescent="0.45">
      <c r="A69" s="27">
        <v>67</v>
      </c>
      <c r="B69" s="28" t="s">
        <v>1560</v>
      </c>
      <c r="C69" s="34" t="s">
        <v>1561</v>
      </c>
      <c r="D69" s="29" t="s">
        <v>1509</v>
      </c>
      <c r="E69" s="28" t="s">
        <v>1510</v>
      </c>
      <c r="F69" s="28" t="s">
        <v>1430</v>
      </c>
      <c r="G69" s="28"/>
    </row>
    <row r="70" spans="1:7" hidden="1" x14ac:dyDescent="0.45">
      <c r="A70" s="30">
        <v>68</v>
      </c>
      <c r="B70" s="31" t="s">
        <v>1562</v>
      </c>
      <c r="C70" s="35" t="s">
        <v>1563</v>
      </c>
      <c r="D70" s="32" t="s">
        <v>1564</v>
      </c>
      <c r="E70" s="31" t="s">
        <v>1510</v>
      </c>
      <c r="F70" s="31" t="s">
        <v>1447</v>
      </c>
      <c r="G70" s="31"/>
    </row>
    <row r="71" spans="1:7" hidden="1" x14ac:dyDescent="0.45">
      <c r="A71" s="27">
        <v>69</v>
      </c>
      <c r="B71" s="28" t="s">
        <v>1565</v>
      </c>
      <c r="C71" s="34" t="s">
        <v>1566</v>
      </c>
      <c r="D71" s="29" t="s">
        <v>1564</v>
      </c>
      <c r="E71" s="28" t="s">
        <v>1510</v>
      </c>
      <c r="F71" s="28" t="s">
        <v>1447</v>
      </c>
      <c r="G71" s="28"/>
    </row>
    <row r="72" spans="1:7" hidden="1" x14ac:dyDescent="0.45">
      <c r="A72" s="30">
        <v>70</v>
      </c>
      <c r="B72" s="31" t="s">
        <v>1567</v>
      </c>
      <c r="C72" s="35" t="s">
        <v>1568</v>
      </c>
      <c r="D72" s="32" t="s">
        <v>1564</v>
      </c>
      <c r="E72" s="31" t="s">
        <v>1510</v>
      </c>
      <c r="F72" s="31" t="s">
        <v>1447</v>
      </c>
      <c r="G72" s="31"/>
    </row>
    <row r="73" spans="1:7" hidden="1" x14ac:dyDescent="0.45">
      <c r="A73" s="27">
        <v>71</v>
      </c>
      <c r="B73" s="28" t="s">
        <v>1569</v>
      </c>
      <c r="C73" s="34" t="s">
        <v>1570</v>
      </c>
      <c r="D73" s="29" t="s">
        <v>1564</v>
      </c>
      <c r="E73" s="28" t="s">
        <v>1510</v>
      </c>
      <c r="F73" s="28" t="s">
        <v>1571</v>
      </c>
      <c r="G73" s="28"/>
    </row>
    <row r="74" spans="1:7" hidden="1" x14ac:dyDescent="0.45">
      <c r="A74" s="30">
        <v>72</v>
      </c>
      <c r="B74" s="31" t="s">
        <v>1572</v>
      </c>
      <c r="C74" s="35" t="s">
        <v>1573</v>
      </c>
      <c r="D74" s="32" t="s">
        <v>1564</v>
      </c>
      <c r="E74" s="31" t="s">
        <v>1510</v>
      </c>
      <c r="F74" s="31" t="s">
        <v>1447</v>
      </c>
      <c r="G74" s="31"/>
    </row>
    <row r="75" spans="1:7" hidden="1" x14ac:dyDescent="0.45">
      <c r="A75" s="27">
        <v>73</v>
      </c>
      <c r="B75" s="28" t="s">
        <v>1574</v>
      </c>
      <c r="C75" s="34" t="s">
        <v>1575</v>
      </c>
      <c r="D75" s="29" t="s">
        <v>1564</v>
      </c>
      <c r="E75" s="28" t="s">
        <v>1510</v>
      </c>
      <c r="F75" s="28" t="s">
        <v>1477</v>
      </c>
      <c r="G75" s="28"/>
    </row>
    <row r="76" spans="1:7" hidden="1" x14ac:dyDescent="0.45">
      <c r="A76" s="30">
        <v>74</v>
      </c>
      <c r="B76" s="31" t="s">
        <v>1576</v>
      </c>
      <c r="C76" s="35" t="s">
        <v>1577</v>
      </c>
      <c r="D76" s="32" t="s">
        <v>1564</v>
      </c>
      <c r="E76" s="31" t="s">
        <v>1510</v>
      </c>
      <c r="F76" s="31" t="s">
        <v>1447</v>
      </c>
      <c r="G76" s="31"/>
    </row>
    <row r="77" spans="1:7" hidden="1" x14ac:dyDescent="0.45">
      <c r="A77" s="27">
        <v>75</v>
      </c>
      <c r="B77" s="28" t="s">
        <v>1578</v>
      </c>
      <c r="C77" s="34" t="s">
        <v>1579</v>
      </c>
      <c r="D77" s="29" t="s">
        <v>1580</v>
      </c>
      <c r="E77" s="28" t="s">
        <v>1510</v>
      </c>
      <c r="F77" s="28" t="s">
        <v>1447</v>
      </c>
      <c r="G77" s="28"/>
    </row>
    <row r="78" spans="1:7" hidden="1" x14ac:dyDescent="0.45">
      <c r="A78" s="30">
        <v>76</v>
      </c>
      <c r="B78" s="31" t="s">
        <v>1581</v>
      </c>
      <c r="C78" s="35" t="s">
        <v>1582</v>
      </c>
      <c r="D78" s="32" t="s">
        <v>1583</v>
      </c>
      <c r="E78" s="31" t="s">
        <v>1510</v>
      </c>
      <c r="F78" s="31" t="s">
        <v>1447</v>
      </c>
      <c r="G78" s="31"/>
    </row>
    <row r="79" spans="1:7" hidden="1" x14ac:dyDescent="0.45">
      <c r="A79" s="27">
        <v>77</v>
      </c>
      <c r="B79" s="28" t="s">
        <v>1584</v>
      </c>
      <c r="C79" s="34" t="s">
        <v>1585</v>
      </c>
      <c r="D79" s="29" t="s">
        <v>1583</v>
      </c>
      <c r="E79" s="28" t="s">
        <v>1510</v>
      </c>
      <c r="F79" s="28" t="s">
        <v>1447</v>
      </c>
      <c r="G79" s="28"/>
    </row>
    <row r="80" spans="1:7" hidden="1" x14ac:dyDescent="0.45">
      <c r="A80" s="30">
        <v>78</v>
      </c>
      <c r="B80" s="31" t="s">
        <v>1450</v>
      </c>
      <c r="C80" s="35" t="s">
        <v>1451</v>
      </c>
      <c r="D80" s="32" t="s">
        <v>1586</v>
      </c>
      <c r="E80" s="31" t="s">
        <v>1510</v>
      </c>
      <c r="F80" s="31" t="s">
        <v>1451</v>
      </c>
      <c r="G80" s="31"/>
    </row>
    <row r="81" spans="1:7" hidden="1" x14ac:dyDescent="0.45">
      <c r="A81" s="27">
        <v>79</v>
      </c>
      <c r="B81" s="28" t="s">
        <v>1587</v>
      </c>
      <c r="C81" s="34" t="s">
        <v>1588</v>
      </c>
      <c r="D81" s="29" t="s">
        <v>1589</v>
      </c>
      <c r="E81" s="28" t="s">
        <v>1510</v>
      </c>
      <c r="F81" s="28" t="s">
        <v>1447</v>
      </c>
      <c r="G81" s="28"/>
    </row>
    <row r="82" spans="1:7" hidden="1" x14ac:dyDescent="0.45">
      <c r="A82" s="30">
        <v>80</v>
      </c>
      <c r="B82" s="31" t="s">
        <v>1590</v>
      </c>
      <c r="C82" s="35" t="s">
        <v>1591</v>
      </c>
      <c r="D82" s="32" t="s">
        <v>1589</v>
      </c>
      <c r="E82" s="31" t="s">
        <v>1510</v>
      </c>
      <c r="F82" s="31" t="s">
        <v>1419</v>
      </c>
      <c r="G82" s="31"/>
    </row>
    <row r="83" spans="1:7" hidden="1" x14ac:dyDescent="0.45">
      <c r="A83" s="27">
        <v>81</v>
      </c>
      <c r="B83" s="28" t="s">
        <v>1592</v>
      </c>
      <c r="C83" s="34" t="s">
        <v>1593</v>
      </c>
      <c r="D83" s="29" t="s">
        <v>1589</v>
      </c>
      <c r="E83" s="28" t="s">
        <v>1510</v>
      </c>
      <c r="F83" s="28" t="s">
        <v>1419</v>
      </c>
      <c r="G83" s="28"/>
    </row>
    <row r="84" spans="1:7" hidden="1" x14ac:dyDescent="0.45">
      <c r="A84" s="30">
        <v>82</v>
      </c>
      <c r="B84" s="31" t="s">
        <v>1594</v>
      </c>
      <c r="C84" s="35" t="s">
        <v>1595</v>
      </c>
      <c r="D84" s="32" t="s">
        <v>1589</v>
      </c>
      <c r="E84" s="31" t="s">
        <v>1510</v>
      </c>
      <c r="F84" s="31" t="s">
        <v>1419</v>
      </c>
      <c r="G84" s="31"/>
    </row>
    <row r="85" spans="1:7" hidden="1" x14ac:dyDescent="0.45">
      <c r="A85" s="27">
        <v>83</v>
      </c>
      <c r="B85" s="28" t="s">
        <v>1596</v>
      </c>
      <c r="C85" s="34" t="s">
        <v>1597</v>
      </c>
      <c r="D85" s="29" t="s">
        <v>1589</v>
      </c>
      <c r="E85" s="28" t="s">
        <v>1510</v>
      </c>
      <c r="F85" s="28" t="s">
        <v>1419</v>
      </c>
      <c r="G85" s="28"/>
    </row>
    <row r="86" spans="1:7" hidden="1" x14ac:dyDescent="0.45">
      <c r="A86" s="30">
        <v>84</v>
      </c>
      <c r="B86" s="31" t="s">
        <v>1420</v>
      </c>
      <c r="C86" s="35" t="s">
        <v>1421</v>
      </c>
      <c r="D86" s="32" t="s">
        <v>1598</v>
      </c>
      <c r="E86" s="31" t="s">
        <v>1510</v>
      </c>
      <c r="F86" s="31" t="s">
        <v>1419</v>
      </c>
      <c r="G86" s="31"/>
    </row>
    <row r="87" spans="1:7" hidden="1" x14ac:dyDescent="0.45">
      <c r="A87" s="27">
        <v>85</v>
      </c>
      <c r="B87" s="28" t="s">
        <v>1599</v>
      </c>
      <c r="C87" s="34" t="s">
        <v>1600</v>
      </c>
      <c r="D87" s="29" t="s">
        <v>1598</v>
      </c>
      <c r="E87" s="28" t="s">
        <v>1510</v>
      </c>
      <c r="F87" s="28" t="s">
        <v>1419</v>
      </c>
      <c r="G87" s="28"/>
    </row>
    <row r="88" spans="1:7" hidden="1" x14ac:dyDescent="0.45">
      <c r="A88" s="30">
        <v>86</v>
      </c>
      <c r="B88" s="31" t="s">
        <v>1601</v>
      </c>
      <c r="C88" s="35" t="s">
        <v>1602</v>
      </c>
      <c r="D88" s="32" t="s">
        <v>1598</v>
      </c>
      <c r="E88" s="31" t="s">
        <v>1510</v>
      </c>
      <c r="F88" s="31" t="s">
        <v>1419</v>
      </c>
      <c r="G88" s="31"/>
    </row>
    <row r="89" spans="1:7" x14ac:dyDescent="0.45">
      <c r="A89" s="27">
        <v>87</v>
      </c>
      <c r="B89" s="28" t="s">
        <v>1552</v>
      </c>
      <c r="C89" s="34" t="s">
        <v>1553</v>
      </c>
      <c r="D89" s="29" t="s">
        <v>1603</v>
      </c>
      <c r="E89" s="28" t="s">
        <v>644</v>
      </c>
      <c r="F89" s="28" t="s">
        <v>1430</v>
      </c>
      <c r="G89" s="28"/>
    </row>
    <row r="90" spans="1:7" hidden="1" x14ac:dyDescent="0.45">
      <c r="A90" s="30">
        <v>88</v>
      </c>
      <c r="B90" s="31" t="s">
        <v>1604</v>
      </c>
      <c r="C90" s="35" t="s">
        <v>1605</v>
      </c>
      <c r="D90" s="32" t="s">
        <v>1603</v>
      </c>
      <c r="E90" s="31" t="s">
        <v>644</v>
      </c>
      <c r="F90" s="31" t="s">
        <v>1430</v>
      </c>
      <c r="G90" s="31"/>
    </row>
    <row r="91" spans="1:7" hidden="1" x14ac:dyDescent="0.45">
      <c r="A91" s="27">
        <v>89</v>
      </c>
      <c r="B91" s="28" t="s">
        <v>1606</v>
      </c>
      <c r="C91" s="34" t="s">
        <v>1607</v>
      </c>
      <c r="D91" s="29" t="s">
        <v>1603</v>
      </c>
      <c r="E91" s="28" t="s">
        <v>644</v>
      </c>
      <c r="F91" s="28" t="s">
        <v>1430</v>
      </c>
      <c r="G91" s="28"/>
    </row>
    <row r="92" spans="1:7" hidden="1" x14ac:dyDescent="0.45">
      <c r="A92" s="30">
        <v>90</v>
      </c>
      <c r="B92" s="31" t="s">
        <v>1608</v>
      </c>
      <c r="C92" s="35" t="s">
        <v>1609</v>
      </c>
      <c r="D92" s="32" t="s">
        <v>1603</v>
      </c>
      <c r="E92" s="31" t="s">
        <v>644</v>
      </c>
      <c r="F92" s="31" t="s">
        <v>1430</v>
      </c>
      <c r="G92" s="31"/>
    </row>
    <row r="93" spans="1:7" hidden="1" x14ac:dyDescent="0.45">
      <c r="A93" s="27">
        <v>91</v>
      </c>
      <c r="B93" s="28" t="s">
        <v>1610</v>
      </c>
      <c r="C93" s="34" t="s">
        <v>1611</v>
      </c>
      <c r="D93" s="29" t="s">
        <v>1603</v>
      </c>
      <c r="E93" s="28" t="s">
        <v>644</v>
      </c>
      <c r="F93" s="28" t="s">
        <v>1430</v>
      </c>
      <c r="G93" s="28"/>
    </row>
    <row r="94" spans="1:7" hidden="1" x14ac:dyDescent="0.45">
      <c r="A94" s="30">
        <v>92</v>
      </c>
      <c r="B94" s="31" t="s">
        <v>1612</v>
      </c>
      <c r="C94" s="35" t="s">
        <v>1613</v>
      </c>
      <c r="D94" s="32" t="s">
        <v>1603</v>
      </c>
      <c r="E94" s="31" t="s">
        <v>644</v>
      </c>
      <c r="F94" s="31" t="s">
        <v>1426</v>
      </c>
      <c r="G94" s="31"/>
    </row>
    <row r="95" spans="1:7" hidden="1" x14ac:dyDescent="0.45">
      <c r="A95" s="27">
        <v>93</v>
      </c>
      <c r="B95" s="28" t="s">
        <v>1532</v>
      </c>
      <c r="C95" s="34" t="s">
        <v>1533</v>
      </c>
      <c r="D95" s="29" t="s">
        <v>1603</v>
      </c>
      <c r="E95" s="28" t="s">
        <v>644</v>
      </c>
      <c r="F95" s="28" t="s">
        <v>1435</v>
      </c>
      <c r="G95" s="28"/>
    </row>
    <row r="96" spans="1:7" hidden="1" x14ac:dyDescent="0.45">
      <c r="A96" s="30">
        <v>94</v>
      </c>
      <c r="B96" s="31" t="s">
        <v>1614</v>
      </c>
      <c r="C96" s="35" t="s">
        <v>1615</v>
      </c>
      <c r="D96" s="32" t="s">
        <v>1603</v>
      </c>
      <c r="E96" s="31" t="s">
        <v>644</v>
      </c>
      <c r="F96" s="31" t="s">
        <v>1430</v>
      </c>
      <c r="G96" s="31"/>
    </row>
    <row r="97" spans="1:7" hidden="1" x14ac:dyDescent="0.45">
      <c r="A97" s="27">
        <v>95</v>
      </c>
      <c r="B97" s="28" t="s">
        <v>1616</v>
      </c>
      <c r="C97" s="34" t="s">
        <v>1617</v>
      </c>
      <c r="D97" s="29" t="s">
        <v>1603</v>
      </c>
      <c r="E97" s="28" t="s">
        <v>644</v>
      </c>
      <c r="F97" s="28" t="s">
        <v>1435</v>
      </c>
      <c r="G97" s="28"/>
    </row>
    <row r="98" spans="1:7" hidden="1" x14ac:dyDescent="0.45">
      <c r="A98" s="30">
        <v>96</v>
      </c>
      <c r="B98" s="31" t="s">
        <v>1544</v>
      </c>
      <c r="C98" s="35" t="s">
        <v>1545</v>
      </c>
      <c r="D98" s="32" t="s">
        <v>1603</v>
      </c>
      <c r="E98" s="31" t="s">
        <v>644</v>
      </c>
      <c r="F98" s="31" t="s">
        <v>1435</v>
      </c>
      <c r="G98" s="31"/>
    </row>
    <row r="99" spans="1:7" hidden="1" x14ac:dyDescent="0.45">
      <c r="A99" s="27">
        <v>97</v>
      </c>
      <c r="B99" s="28" t="s">
        <v>1618</v>
      </c>
      <c r="C99" s="34" t="s">
        <v>1619</v>
      </c>
      <c r="D99" s="29" t="s">
        <v>1603</v>
      </c>
      <c r="E99" s="28" t="s">
        <v>644</v>
      </c>
      <c r="F99" s="28" t="s">
        <v>1435</v>
      </c>
      <c r="G99" s="28"/>
    </row>
    <row r="100" spans="1:7" hidden="1" x14ac:dyDescent="0.45">
      <c r="A100" s="30">
        <v>98</v>
      </c>
      <c r="B100" s="31" t="s">
        <v>1540</v>
      </c>
      <c r="C100" s="35" t="s">
        <v>1541</v>
      </c>
      <c r="D100" s="32" t="s">
        <v>1603</v>
      </c>
      <c r="E100" s="31" t="s">
        <v>644</v>
      </c>
      <c r="F100" s="31" t="s">
        <v>1435</v>
      </c>
      <c r="G100" s="31"/>
    </row>
    <row r="101" spans="1:7" hidden="1" x14ac:dyDescent="0.45">
      <c r="A101" s="27">
        <v>99</v>
      </c>
      <c r="B101" s="28" t="s">
        <v>1620</v>
      </c>
      <c r="C101" s="34" t="s">
        <v>1621</v>
      </c>
      <c r="D101" s="29" t="s">
        <v>1603</v>
      </c>
      <c r="E101" s="28" t="s">
        <v>644</v>
      </c>
      <c r="F101" s="28" t="s">
        <v>1435</v>
      </c>
      <c r="G101" s="28"/>
    </row>
    <row r="102" spans="1:7" hidden="1" x14ac:dyDescent="0.45">
      <c r="A102" s="30">
        <v>100</v>
      </c>
      <c r="B102" s="31" t="s">
        <v>1622</v>
      </c>
      <c r="C102" s="35" t="s">
        <v>1623</v>
      </c>
      <c r="D102" s="32" t="s">
        <v>1603</v>
      </c>
      <c r="E102" s="31" t="s">
        <v>644</v>
      </c>
      <c r="F102" s="31" t="s">
        <v>1435</v>
      </c>
      <c r="G102" s="31"/>
    </row>
    <row r="103" spans="1:7" hidden="1" x14ac:dyDescent="0.45">
      <c r="A103" s="27">
        <v>101</v>
      </c>
      <c r="B103" s="28" t="s">
        <v>1624</v>
      </c>
      <c r="C103" s="34" t="s">
        <v>1625</v>
      </c>
      <c r="D103" s="29" t="s">
        <v>1603</v>
      </c>
      <c r="E103" s="28" t="s">
        <v>644</v>
      </c>
      <c r="F103" s="28" t="s">
        <v>1472</v>
      </c>
      <c r="G103" s="28"/>
    </row>
    <row r="104" spans="1:7" hidden="1" x14ac:dyDescent="0.45">
      <c r="A104" s="30">
        <v>102</v>
      </c>
      <c r="B104" s="31" t="s">
        <v>1626</v>
      </c>
      <c r="C104" s="35" t="s">
        <v>1627</v>
      </c>
      <c r="D104" s="32" t="s">
        <v>1603</v>
      </c>
      <c r="E104" s="31" t="s">
        <v>644</v>
      </c>
      <c r="F104" s="31" t="s">
        <v>1435</v>
      </c>
      <c r="G104" s="31"/>
    </row>
    <row r="105" spans="1:7" hidden="1" x14ac:dyDescent="0.45">
      <c r="A105" s="27">
        <v>103</v>
      </c>
      <c r="B105" s="28" t="s">
        <v>1628</v>
      </c>
      <c r="C105" s="34" t="s">
        <v>1629</v>
      </c>
      <c r="D105" s="29" t="s">
        <v>1603</v>
      </c>
      <c r="E105" s="28" t="s">
        <v>644</v>
      </c>
      <c r="F105" s="28" t="s">
        <v>1426</v>
      </c>
      <c r="G105" s="28"/>
    </row>
    <row r="106" spans="1:7" hidden="1" x14ac:dyDescent="0.45">
      <c r="A106" s="30">
        <v>104</v>
      </c>
      <c r="B106" s="31" t="s">
        <v>1630</v>
      </c>
      <c r="C106" s="35" t="s">
        <v>1631</v>
      </c>
      <c r="D106" s="32" t="s">
        <v>1603</v>
      </c>
      <c r="E106" s="31" t="s">
        <v>644</v>
      </c>
      <c r="F106" s="31" t="s">
        <v>1419</v>
      </c>
      <c r="G106" s="31"/>
    </row>
    <row r="107" spans="1:7" hidden="1" x14ac:dyDescent="0.45">
      <c r="A107" s="27">
        <v>105</v>
      </c>
      <c r="B107" s="28" t="s">
        <v>1632</v>
      </c>
      <c r="C107" s="34" t="s">
        <v>1633</v>
      </c>
      <c r="D107" s="29" t="s">
        <v>1603</v>
      </c>
      <c r="E107" s="28" t="s">
        <v>644</v>
      </c>
      <c r="F107" s="28" t="s">
        <v>1430</v>
      </c>
      <c r="G107" s="28"/>
    </row>
    <row r="108" spans="1:7" hidden="1" x14ac:dyDescent="0.45">
      <c r="A108" s="30">
        <v>106</v>
      </c>
      <c r="B108" s="31" t="s">
        <v>1634</v>
      </c>
      <c r="C108" s="35" t="s">
        <v>1635</v>
      </c>
      <c r="D108" s="32" t="s">
        <v>1603</v>
      </c>
      <c r="E108" s="31" t="s">
        <v>644</v>
      </c>
      <c r="F108" s="31" t="s">
        <v>1419</v>
      </c>
      <c r="G108" s="31"/>
    </row>
    <row r="109" spans="1:7" hidden="1" x14ac:dyDescent="0.45">
      <c r="A109" s="27">
        <v>107</v>
      </c>
      <c r="B109" s="28" t="s">
        <v>1636</v>
      </c>
      <c r="C109" s="34" t="s">
        <v>1637</v>
      </c>
      <c r="D109" s="29" t="s">
        <v>1603</v>
      </c>
      <c r="E109" s="28" t="s">
        <v>644</v>
      </c>
      <c r="F109" s="28" t="s">
        <v>1430</v>
      </c>
      <c r="G109" s="28"/>
    </row>
    <row r="110" spans="1:7" hidden="1" x14ac:dyDescent="0.45">
      <c r="A110" s="30">
        <v>108</v>
      </c>
      <c r="B110" s="31" t="s">
        <v>1638</v>
      </c>
      <c r="C110" s="35" t="s">
        <v>1639</v>
      </c>
      <c r="D110" s="32" t="s">
        <v>1603</v>
      </c>
      <c r="E110" s="31" t="s">
        <v>644</v>
      </c>
      <c r="F110" s="31" t="s">
        <v>1472</v>
      </c>
      <c r="G110" s="31"/>
    </row>
    <row r="111" spans="1:7" hidden="1" x14ac:dyDescent="0.45">
      <c r="A111" s="27">
        <v>109</v>
      </c>
      <c r="B111" s="28" t="s">
        <v>1640</v>
      </c>
      <c r="C111" s="34" t="s">
        <v>1641</v>
      </c>
      <c r="D111" s="29" t="s">
        <v>1603</v>
      </c>
      <c r="E111" s="28" t="s">
        <v>644</v>
      </c>
      <c r="F111" s="28" t="s">
        <v>1477</v>
      </c>
      <c r="G111" s="28"/>
    </row>
    <row r="112" spans="1:7" hidden="1" x14ac:dyDescent="0.45">
      <c r="A112" s="30">
        <v>110</v>
      </c>
      <c r="B112" s="31" t="s">
        <v>1528</v>
      </c>
      <c r="C112" s="35" t="s">
        <v>1529</v>
      </c>
      <c r="D112" s="32" t="s">
        <v>1603</v>
      </c>
      <c r="E112" s="31" t="s">
        <v>644</v>
      </c>
      <c r="F112" s="31" t="s">
        <v>1414</v>
      </c>
      <c r="G112" s="31"/>
    </row>
    <row r="113" spans="1:7" hidden="1" x14ac:dyDescent="0.45">
      <c r="A113" s="27">
        <v>111</v>
      </c>
      <c r="B113" s="28" t="s">
        <v>1642</v>
      </c>
      <c r="C113" s="34" t="s">
        <v>1643</v>
      </c>
      <c r="D113" s="29" t="s">
        <v>1644</v>
      </c>
      <c r="E113" s="28" t="s">
        <v>644</v>
      </c>
      <c r="F113" s="28" t="s">
        <v>1447</v>
      </c>
      <c r="G113" s="28"/>
    </row>
    <row r="114" spans="1:7" hidden="1" x14ac:dyDescent="0.45">
      <c r="A114" s="30">
        <v>112</v>
      </c>
      <c r="B114" s="31" t="s">
        <v>1645</v>
      </c>
      <c r="C114" s="35" t="s">
        <v>1646</v>
      </c>
      <c r="D114" s="32" t="s">
        <v>1644</v>
      </c>
      <c r="E114" s="31" t="s">
        <v>644</v>
      </c>
      <c r="F114" s="31" t="s">
        <v>1447</v>
      </c>
      <c r="G114" s="31"/>
    </row>
    <row r="115" spans="1:7" hidden="1" x14ac:dyDescent="0.45">
      <c r="A115" s="27">
        <v>113</v>
      </c>
      <c r="B115" s="28" t="s">
        <v>1647</v>
      </c>
      <c r="C115" s="34" t="s">
        <v>1648</v>
      </c>
      <c r="D115" s="29" t="s">
        <v>1644</v>
      </c>
      <c r="E115" s="28" t="s">
        <v>644</v>
      </c>
      <c r="F115" s="28" t="s">
        <v>1447</v>
      </c>
      <c r="G115" s="28"/>
    </row>
    <row r="116" spans="1:7" hidden="1" x14ac:dyDescent="0.45">
      <c r="A116" s="30">
        <v>114</v>
      </c>
      <c r="B116" s="31" t="s">
        <v>1649</v>
      </c>
      <c r="C116" s="35" t="s">
        <v>1650</v>
      </c>
      <c r="D116" s="32" t="s">
        <v>1644</v>
      </c>
      <c r="E116" s="31" t="s">
        <v>644</v>
      </c>
      <c r="F116" s="31" t="s">
        <v>1447</v>
      </c>
      <c r="G116" s="31"/>
    </row>
    <row r="117" spans="1:7" hidden="1" x14ac:dyDescent="0.45">
      <c r="A117" s="27">
        <v>115</v>
      </c>
      <c r="B117" s="28" t="s">
        <v>1651</v>
      </c>
      <c r="C117" s="34" t="s">
        <v>1652</v>
      </c>
      <c r="D117" s="29" t="s">
        <v>1644</v>
      </c>
      <c r="E117" s="28" t="s">
        <v>644</v>
      </c>
      <c r="F117" s="28" t="s">
        <v>1571</v>
      </c>
      <c r="G117" s="28"/>
    </row>
    <row r="118" spans="1:7" hidden="1" x14ac:dyDescent="0.45">
      <c r="A118" s="30">
        <v>116</v>
      </c>
      <c r="B118" s="31" t="s">
        <v>1653</v>
      </c>
      <c r="C118" s="35" t="s">
        <v>1654</v>
      </c>
      <c r="D118" s="32" t="s">
        <v>1644</v>
      </c>
      <c r="E118" s="31" t="s">
        <v>644</v>
      </c>
      <c r="F118" s="31" t="s">
        <v>1419</v>
      </c>
      <c r="G118" s="31"/>
    </row>
    <row r="119" spans="1:7" hidden="1" x14ac:dyDescent="0.45">
      <c r="A119" s="27">
        <v>117</v>
      </c>
      <c r="B119" s="28" t="s">
        <v>1655</v>
      </c>
      <c r="C119" s="34" t="s">
        <v>1656</v>
      </c>
      <c r="D119" s="29" t="s">
        <v>1644</v>
      </c>
      <c r="E119" s="28" t="s">
        <v>644</v>
      </c>
      <c r="F119" s="28" t="s">
        <v>1419</v>
      </c>
      <c r="G119" s="28"/>
    </row>
    <row r="120" spans="1:7" hidden="1" x14ac:dyDescent="0.45">
      <c r="A120" s="30">
        <v>118</v>
      </c>
      <c r="B120" s="31" t="s">
        <v>1657</v>
      </c>
      <c r="C120" s="35" t="s">
        <v>1658</v>
      </c>
      <c r="D120" s="32" t="s">
        <v>1644</v>
      </c>
      <c r="E120" s="31" t="s">
        <v>644</v>
      </c>
      <c r="F120" s="31" t="s">
        <v>1419</v>
      </c>
      <c r="G120" s="31"/>
    </row>
    <row r="121" spans="1:7" hidden="1" x14ac:dyDescent="0.45">
      <c r="A121" s="27">
        <v>119</v>
      </c>
      <c r="B121" s="28" t="s">
        <v>1659</v>
      </c>
      <c r="C121" s="34" t="s">
        <v>1660</v>
      </c>
      <c r="D121" s="29" t="s">
        <v>1644</v>
      </c>
      <c r="E121" s="28" t="s">
        <v>644</v>
      </c>
      <c r="F121" s="28" t="s">
        <v>1447</v>
      </c>
      <c r="G121" s="28"/>
    </row>
    <row r="122" spans="1:7" hidden="1" x14ac:dyDescent="0.45">
      <c r="A122" s="30">
        <v>120</v>
      </c>
      <c r="B122" s="31" t="s">
        <v>1661</v>
      </c>
      <c r="C122" s="35" t="s">
        <v>1662</v>
      </c>
      <c r="D122" s="32" t="s">
        <v>1644</v>
      </c>
      <c r="E122" s="31" t="s">
        <v>644</v>
      </c>
      <c r="F122" s="31" t="s">
        <v>1447</v>
      </c>
      <c r="G122" s="31"/>
    </row>
    <row r="123" spans="1:7" hidden="1" x14ac:dyDescent="0.45">
      <c r="A123" s="27">
        <v>121</v>
      </c>
      <c r="B123" s="28" t="s">
        <v>1663</v>
      </c>
      <c r="C123" s="34" t="s">
        <v>1664</v>
      </c>
      <c r="D123" s="29" t="s">
        <v>1644</v>
      </c>
      <c r="E123" s="28" t="s">
        <v>644</v>
      </c>
      <c r="F123" s="28" t="s">
        <v>1447</v>
      </c>
      <c r="G123" s="28"/>
    </row>
    <row r="124" spans="1:7" hidden="1" x14ac:dyDescent="0.45">
      <c r="A124" s="30">
        <v>122</v>
      </c>
      <c r="B124" s="31" t="s">
        <v>1507</v>
      </c>
      <c r="C124" s="35" t="s">
        <v>1508</v>
      </c>
      <c r="D124" s="32" t="s">
        <v>1665</v>
      </c>
      <c r="E124" s="31" t="s">
        <v>644</v>
      </c>
      <c r="F124" s="31" t="s">
        <v>1506</v>
      </c>
      <c r="G124" s="31"/>
    </row>
    <row r="125" spans="1:7" hidden="1" x14ac:dyDescent="0.45">
      <c r="A125" s="27">
        <v>123</v>
      </c>
      <c r="B125" s="28" t="s">
        <v>1666</v>
      </c>
      <c r="C125" s="34" t="s">
        <v>1667</v>
      </c>
      <c r="D125" s="29" t="s">
        <v>1665</v>
      </c>
      <c r="E125" s="28" t="s">
        <v>644</v>
      </c>
      <c r="F125" s="28" t="s">
        <v>1506</v>
      </c>
      <c r="G125" s="28"/>
    </row>
    <row r="126" spans="1:7" hidden="1" x14ac:dyDescent="0.45">
      <c r="A126" s="30">
        <v>124</v>
      </c>
      <c r="B126" s="31" t="s">
        <v>1668</v>
      </c>
      <c r="C126" s="35" t="s">
        <v>1669</v>
      </c>
      <c r="D126" s="32" t="s">
        <v>1665</v>
      </c>
      <c r="E126" s="31" t="s">
        <v>644</v>
      </c>
      <c r="F126" s="31" t="s">
        <v>1447</v>
      </c>
      <c r="G126" s="31"/>
    </row>
    <row r="127" spans="1:7" hidden="1" x14ac:dyDescent="0.45">
      <c r="A127" s="27">
        <v>125</v>
      </c>
      <c r="B127" s="28" t="s">
        <v>1670</v>
      </c>
      <c r="C127" s="34" t="s">
        <v>1671</v>
      </c>
      <c r="D127" s="29" t="s">
        <v>1665</v>
      </c>
      <c r="E127" s="28" t="s">
        <v>644</v>
      </c>
      <c r="F127" s="28" t="s">
        <v>1447</v>
      </c>
      <c r="G127" s="28"/>
    </row>
    <row r="128" spans="1:7" hidden="1" x14ac:dyDescent="0.45">
      <c r="A128" s="30">
        <v>126</v>
      </c>
      <c r="B128" s="31" t="s">
        <v>1450</v>
      </c>
      <c r="C128" s="35" t="s">
        <v>1451</v>
      </c>
      <c r="D128" s="32" t="s">
        <v>1672</v>
      </c>
      <c r="E128" s="31" t="s">
        <v>644</v>
      </c>
      <c r="F128" s="31" t="s">
        <v>1451</v>
      </c>
      <c r="G128" s="31"/>
    </row>
    <row r="129" spans="1:7" hidden="1" x14ac:dyDescent="0.45">
      <c r="A129" s="27">
        <v>127</v>
      </c>
      <c r="B129" s="28" t="s">
        <v>1673</v>
      </c>
      <c r="C129" s="34" t="s">
        <v>1674</v>
      </c>
      <c r="D129" s="29" t="s">
        <v>1672</v>
      </c>
      <c r="E129" s="28" t="s">
        <v>644</v>
      </c>
      <c r="F129" s="28" t="s">
        <v>1447</v>
      </c>
      <c r="G129" s="28"/>
    </row>
    <row r="130" spans="1:7" hidden="1" x14ac:dyDescent="0.45">
      <c r="A130" s="30">
        <v>128</v>
      </c>
      <c r="B130" s="31" t="s">
        <v>1675</v>
      </c>
      <c r="C130" s="35" t="s">
        <v>1676</v>
      </c>
      <c r="D130" s="32" t="s">
        <v>1677</v>
      </c>
      <c r="E130" s="31" t="s">
        <v>644</v>
      </c>
      <c r="F130" s="31" t="s">
        <v>1447</v>
      </c>
      <c r="G130" s="31"/>
    </row>
    <row r="131" spans="1:7" hidden="1" x14ac:dyDescent="0.45">
      <c r="A131" s="27">
        <v>129</v>
      </c>
      <c r="B131" s="28" t="s">
        <v>1678</v>
      </c>
      <c r="C131" s="34" t="s">
        <v>1679</v>
      </c>
      <c r="D131" s="29" t="s">
        <v>1677</v>
      </c>
      <c r="E131" s="28" t="s">
        <v>644</v>
      </c>
      <c r="F131" s="28" t="s">
        <v>1447</v>
      </c>
      <c r="G131" s="28"/>
    </row>
    <row r="132" spans="1:7" hidden="1" x14ac:dyDescent="0.45">
      <c r="A132" s="30">
        <v>130</v>
      </c>
      <c r="B132" s="31" t="s">
        <v>1569</v>
      </c>
      <c r="C132" s="35" t="s">
        <v>1570</v>
      </c>
      <c r="D132" s="32" t="s">
        <v>1680</v>
      </c>
      <c r="E132" s="31" t="s">
        <v>644</v>
      </c>
      <c r="F132" s="31" t="s">
        <v>1571</v>
      </c>
      <c r="G132" s="31"/>
    </row>
    <row r="133" spans="1:7" hidden="1" x14ac:dyDescent="0.45">
      <c r="A133" s="27">
        <v>131</v>
      </c>
      <c r="B133" s="28" t="s">
        <v>1681</v>
      </c>
      <c r="C133" s="34" t="s">
        <v>1682</v>
      </c>
      <c r="D133" s="29" t="s">
        <v>1680</v>
      </c>
      <c r="E133" s="28" t="s">
        <v>644</v>
      </c>
      <c r="F133" s="28" t="s">
        <v>1451</v>
      </c>
      <c r="G133" s="28"/>
    </row>
    <row r="134" spans="1:7" hidden="1" x14ac:dyDescent="0.45">
      <c r="A134" s="30">
        <v>132</v>
      </c>
      <c r="B134" s="31" t="s">
        <v>1683</v>
      </c>
      <c r="C134" s="35" t="s">
        <v>1684</v>
      </c>
      <c r="D134" s="32" t="s">
        <v>1680</v>
      </c>
      <c r="E134" s="31" t="s">
        <v>644</v>
      </c>
      <c r="F134" s="31" t="s">
        <v>1451</v>
      </c>
      <c r="G134" s="31"/>
    </row>
    <row r="135" spans="1:7" hidden="1" x14ac:dyDescent="0.45">
      <c r="A135" s="27">
        <v>133</v>
      </c>
      <c r="B135" s="28" t="s">
        <v>1685</v>
      </c>
      <c r="C135" s="34" t="s">
        <v>1686</v>
      </c>
      <c r="D135" s="29" t="s">
        <v>1687</v>
      </c>
      <c r="E135" s="28" t="s">
        <v>644</v>
      </c>
      <c r="F135" s="28" t="s">
        <v>1477</v>
      </c>
      <c r="G135" s="28"/>
    </row>
    <row r="136" spans="1:7" hidden="1" x14ac:dyDescent="0.45">
      <c r="A136" s="30">
        <v>134</v>
      </c>
      <c r="B136" s="31" t="s">
        <v>1688</v>
      </c>
      <c r="C136" s="35" t="s">
        <v>1689</v>
      </c>
      <c r="D136" s="32" t="s">
        <v>1687</v>
      </c>
      <c r="E136" s="31" t="s">
        <v>644</v>
      </c>
      <c r="F136" s="31" t="s">
        <v>1447</v>
      </c>
      <c r="G136" s="31"/>
    </row>
    <row r="137" spans="1:7" ht="28.5" hidden="1" customHeight="1" x14ac:dyDescent="0.45">
      <c r="A137" s="27">
        <v>135</v>
      </c>
      <c r="B137" s="28" t="s">
        <v>1690</v>
      </c>
      <c r="C137" s="34" t="s">
        <v>1691</v>
      </c>
      <c r="D137" s="29" t="s">
        <v>1687</v>
      </c>
      <c r="E137" s="28" t="s">
        <v>644</v>
      </c>
      <c r="F137" s="28" t="s">
        <v>1447</v>
      </c>
      <c r="G137" s="28"/>
    </row>
    <row r="138" spans="1:7" ht="28.5" hidden="1" customHeight="1" x14ac:dyDescent="0.45">
      <c r="A138" s="30">
        <v>136</v>
      </c>
      <c r="B138" s="31" t="s">
        <v>1692</v>
      </c>
      <c r="C138" s="35" t="s">
        <v>1691</v>
      </c>
      <c r="D138" s="32" t="s">
        <v>1687</v>
      </c>
      <c r="E138" s="31" t="s">
        <v>644</v>
      </c>
      <c r="F138" s="31" t="s">
        <v>1447</v>
      </c>
      <c r="G138" s="31"/>
    </row>
    <row r="139" spans="1:7" ht="28.5" hidden="1" customHeight="1" x14ac:dyDescent="0.45">
      <c r="A139" s="27">
        <v>137</v>
      </c>
      <c r="B139" s="28" t="s">
        <v>1693</v>
      </c>
      <c r="C139" s="34" t="s">
        <v>1691</v>
      </c>
      <c r="D139" s="29" t="s">
        <v>1687</v>
      </c>
      <c r="E139" s="28" t="s">
        <v>644</v>
      </c>
      <c r="F139" s="28" t="s">
        <v>1447</v>
      </c>
      <c r="G139" s="28"/>
    </row>
    <row r="140" spans="1:7" ht="28.5" hidden="1" customHeight="1" x14ac:dyDescent="0.45">
      <c r="A140" s="30">
        <v>138</v>
      </c>
      <c r="B140" s="31" t="s">
        <v>1694</v>
      </c>
      <c r="C140" s="35" t="s">
        <v>1691</v>
      </c>
      <c r="D140" s="32" t="s">
        <v>1687</v>
      </c>
      <c r="E140" s="31" t="s">
        <v>644</v>
      </c>
      <c r="F140" s="31" t="s">
        <v>1447</v>
      </c>
      <c r="G140" s="31"/>
    </row>
    <row r="141" spans="1:7" ht="28.5" hidden="1" customHeight="1" x14ac:dyDescent="0.45">
      <c r="A141" s="27">
        <v>139</v>
      </c>
      <c r="B141" s="28" t="s">
        <v>1695</v>
      </c>
      <c r="C141" s="34" t="s">
        <v>1691</v>
      </c>
      <c r="D141" s="29" t="s">
        <v>1687</v>
      </c>
      <c r="E141" s="28" t="s">
        <v>644</v>
      </c>
      <c r="F141" s="28" t="s">
        <v>1447</v>
      </c>
      <c r="G141" s="28"/>
    </row>
    <row r="142" spans="1:7" ht="28.5" hidden="1" customHeight="1" x14ac:dyDescent="0.45">
      <c r="A142" s="30">
        <v>140</v>
      </c>
      <c r="B142" s="31" t="s">
        <v>1696</v>
      </c>
      <c r="C142" s="35" t="s">
        <v>1691</v>
      </c>
      <c r="D142" s="32" t="s">
        <v>1687</v>
      </c>
      <c r="E142" s="31" t="s">
        <v>644</v>
      </c>
      <c r="F142" s="31" t="s">
        <v>1447</v>
      </c>
      <c r="G142" s="31"/>
    </row>
    <row r="143" spans="1:7" ht="28.5" hidden="1" customHeight="1" x14ac:dyDescent="0.45">
      <c r="A143" s="27">
        <v>141</v>
      </c>
      <c r="B143" s="28" t="s">
        <v>1697</v>
      </c>
      <c r="C143" s="34" t="s">
        <v>1691</v>
      </c>
      <c r="D143" s="29" t="s">
        <v>1687</v>
      </c>
      <c r="E143" s="28" t="s">
        <v>644</v>
      </c>
      <c r="F143" s="28" t="s">
        <v>1447</v>
      </c>
      <c r="G143" s="28"/>
    </row>
    <row r="144" spans="1:7" ht="28.5" hidden="1" customHeight="1" x14ac:dyDescent="0.45">
      <c r="A144" s="30">
        <v>142</v>
      </c>
      <c r="B144" s="31" t="s">
        <v>1698</v>
      </c>
      <c r="C144" s="35" t="s">
        <v>1691</v>
      </c>
      <c r="D144" s="32" t="s">
        <v>1687</v>
      </c>
      <c r="E144" s="31" t="s">
        <v>644</v>
      </c>
      <c r="F144" s="31" t="s">
        <v>1447</v>
      </c>
      <c r="G144" s="31"/>
    </row>
    <row r="145" spans="1:7" ht="28.5" hidden="1" customHeight="1" x14ac:dyDescent="0.45">
      <c r="A145" s="27">
        <v>143</v>
      </c>
      <c r="B145" s="28" t="s">
        <v>1699</v>
      </c>
      <c r="C145" s="34" t="s">
        <v>1691</v>
      </c>
      <c r="D145" s="29" t="s">
        <v>1687</v>
      </c>
      <c r="E145" s="28" t="s">
        <v>644</v>
      </c>
      <c r="F145" s="28" t="s">
        <v>1447</v>
      </c>
      <c r="G145" s="28"/>
    </row>
    <row r="146" spans="1:7" ht="28.5" hidden="1" customHeight="1" x14ac:dyDescent="0.45">
      <c r="A146" s="30">
        <v>144</v>
      </c>
      <c r="B146" s="31" t="s">
        <v>1700</v>
      </c>
      <c r="C146" s="35" t="s">
        <v>1691</v>
      </c>
      <c r="D146" s="32" t="s">
        <v>1687</v>
      </c>
      <c r="E146" s="31" t="s">
        <v>644</v>
      </c>
      <c r="F146" s="31" t="s">
        <v>1447</v>
      </c>
      <c r="G146" s="31"/>
    </row>
    <row r="147" spans="1:7" ht="28.5" hidden="1" customHeight="1" x14ac:dyDescent="0.45">
      <c r="A147" s="27">
        <v>145</v>
      </c>
      <c r="B147" s="28" t="s">
        <v>1701</v>
      </c>
      <c r="C147" s="34" t="s">
        <v>1691</v>
      </c>
      <c r="D147" s="29" t="s">
        <v>1687</v>
      </c>
      <c r="E147" s="28" t="s">
        <v>644</v>
      </c>
      <c r="F147" s="28" t="s">
        <v>1447</v>
      </c>
      <c r="G147" s="28"/>
    </row>
    <row r="148" spans="1:7" ht="28.5" hidden="1" customHeight="1" x14ac:dyDescent="0.45">
      <c r="A148" s="30">
        <v>146</v>
      </c>
      <c r="B148" s="31" t="s">
        <v>1702</v>
      </c>
      <c r="C148" s="35" t="s">
        <v>1691</v>
      </c>
      <c r="D148" s="32" t="s">
        <v>1687</v>
      </c>
      <c r="E148" s="31" t="s">
        <v>644</v>
      </c>
      <c r="F148" s="31" t="s">
        <v>1447</v>
      </c>
      <c r="G148" s="31"/>
    </row>
    <row r="149" spans="1:7" ht="28.5" hidden="1" customHeight="1" x14ac:dyDescent="0.45">
      <c r="A149" s="27">
        <v>147</v>
      </c>
      <c r="B149" s="28" t="s">
        <v>1703</v>
      </c>
      <c r="C149" s="34" t="s">
        <v>1691</v>
      </c>
      <c r="D149" s="29" t="s">
        <v>1687</v>
      </c>
      <c r="E149" s="28" t="s">
        <v>644</v>
      </c>
      <c r="F149" s="28" t="s">
        <v>1447</v>
      </c>
      <c r="G149" s="28"/>
    </row>
    <row r="150" spans="1:7" ht="28.5" hidden="1" customHeight="1" x14ac:dyDescent="0.45">
      <c r="A150" s="30">
        <v>148</v>
      </c>
      <c r="B150" s="31" t="s">
        <v>1704</v>
      </c>
      <c r="C150" s="35" t="s">
        <v>1691</v>
      </c>
      <c r="D150" s="32" t="s">
        <v>1687</v>
      </c>
      <c r="E150" s="31" t="s">
        <v>644</v>
      </c>
      <c r="F150" s="31" t="s">
        <v>1447</v>
      </c>
      <c r="G150" s="31"/>
    </row>
    <row r="151" spans="1:7" ht="28.5" hidden="1" customHeight="1" x14ac:dyDescent="0.45">
      <c r="A151" s="27">
        <v>149</v>
      </c>
      <c r="B151" s="28" t="s">
        <v>1705</v>
      </c>
      <c r="C151" s="34" t="s">
        <v>1691</v>
      </c>
      <c r="D151" s="29" t="s">
        <v>1687</v>
      </c>
      <c r="E151" s="28" t="s">
        <v>644</v>
      </c>
      <c r="F151" s="28" t="s">
        <v>1447</v>
      </c>
      <c r="G151" s="28"/>
    </row>
    <row r="152" spans="1:7" ht="28.5" hidden="1" customHeight="1" x14ac:dyDescent="0.45">
      <c r="A152" s="30">
        <v>150</v>
      </c>
      <c r="B152" s="31" t="s">
        <v>1706</v>
      </c>
      <c r="C152" s="35" t="s">
        <v>1691</v>
      </c>
      <c r="D152" s="32" t="s">
        <v>1687</v>
      </c>
      <c r="E152" s="31" t="s">
        <v>644</v>
      </c>
      <c r="F152" s="31" t="s">
        <v>1447</v>
      </c>
      <c r="G152" s="31"/>
    </row>
    <row r="153" spans="1:7" ht="28.5" hidden="1" customHeight="1" x14ac:dyDescent="0.45">
      <c r="A153" s="27">
        <v>151</v>
      </c>
      <c r="B153" s="28" t="s">
        <v>1707</v>
      </c>
      <c r="C153" s="34" t="s">
        <v>1691</v>
      </c>
      <c r="D153" s="29" t="s">
        <v>1687</v>
      </c>
      <c r="E153" s="28" t="s">
        <v>644</v>
      </c>
      <c r="F153" s="28" t="s">
        <v>1447</v>
      </c>
      <c r="G153" s="28"/>
    </row>
    <row r="154" spans="1:7" ht="28.5" hidden="1" customHeight="1" x14ac:dyDescent="0.45">
      <c r="A154" s="30">
        <v>152</v>
      </c>
      <c r="B154" s="31" t="s">
        <v>1708</v>
      </c>
      <c r="C154" s="35" t="s">
        <v>1691</v>
      </c>
      <c r="D154" s="32" t="s">
        <v>1687</v>
      </c>
      <c r="E154" s="31" t="s">
        <v>644</v>
      </c>
      <c r="F154" s="31" t="s">
        <v>1447</v>
      </c>
      <c r="G154" s="31"/>
    </row>
    <row r="155" spans="1:7" ht="28.5" hidden="1" customHeight="1" x14ac:dyDescent="0.45">
      <c r="A155" s="27">
        <v>153</v>
      </c>
      <c r="B155" s="28" t="s">
        <v>1709</v>
      </c>
      <c r="C155" s="34" t="s">
        <v>1691</v>
      </c>
      <c r="D155" s="29" t="s">
        <v>1687</v>
      </c>
      <c r="E155" s="28" t="s">
        <v>644</v>
      </c>
      <c r="F155" s="28" t="s">
        <v>1447</v>
      </c>
      <c r="G155" s="28"/>
    </row>
    <row r="156" spans="1:7" ht="28.5" hidden="1" customHeight="1" x14ac:dyDescent="0.45">
      <c r="A156" s="30">
        <v>154</v>
      </c>
      <c r="B156" s="31" t="s">
        <v>1710</v>
      </c>
      <c r="C156" s="35" t="s">
        <v>1691</v>
      </c>
      <c r="D156" s="32" t="s">
        <v>1687</v>
      </c>
      <c r="E156" s="31" t="s">
        <v>644</v>
      </c>
      <c r="F156" s="31" t="s">
        <v>1447</v>
      </c>
      <c r="G156" s="31"/>
    </row>
    <row r="157" spans="1:7" ht="28.5" hidden="1" customHeight="1" x14ac:dyDescent="0.45">
      <c r="A157" s="27">
        <v>155</v>
      </c>
      <c r="B157" s="28" t="s">
        <v>1711</v>
      </c>
      <c r="C157" s="34" t="s">
        <v>1691</v>
      </c>
      <c r="D157" s="29" t="s">
        <v>1687</v>
      </c>
      <c r="E157" s="28" t="s">
        <v>644</v>
      </c>
      <c r="F157" s="28" t="s">
        <v>1447</v>
      </c>
      <c r="G157" s="28"/>
    </row>
    <row r="158" spans="1:7" ht="28.5" hidden="1" customHeight="1" x14ac:dyDescent="0.45">
      <c r="A158" s="30">
        <v>156</v>
      </c>
      <c r="B158" s="31" t="s">
        <v>1712</v>
      </c>
      <c r="C158" s="35" t="s">
        <v>1691</v>
      </c>
      <c r="D158" s="32" t="s">
        <v>1687</v>
      </c>
      <c r="E158" s="31" t="s">
        <v>644</v>
      </c>
      <c r="F158" s="31" t="s">
        <v>1447</v>
      </c>
      <c r="G158" s="31"/>
    </row>
    <row r="159" spans="1:7" ht="28.5" hidden="1" customHeight="1" x14ac:dyDescent="0.45">
      <c r="A159" s="27">
        <v>157</v>
      </c>
      <c r="B159" s="28" t="s">
        <v>1713</v>
      </c>
      <c r="C159" s="34" t="s">
        <v>1691</v>
      </c>
      <c r="D159" s="29" t="s">
        <v>1687</v>
      </c>
      <c r="E159" s="28" t="s">
        <v>644</v>
      </c>
      <c r="F159" s="28" t="s">
        <v>1447</v>
      </c>
      <c r="G159" s="28"/>
    </row>
    <row r="160" spans="1:7" ht="28.5" hidden="1" customHeight="1" x14ac:dyDescent="0.45">
      <c r="A160" s="30">
        <v>158</v>
      </c>
      <c r="B160" s="31" t="s">
        <v>1714</v>
      </c>
      <c r="C160" s="35" t="s">
        <v>1691</v>
      </c>
      <c r="D160" s="32" t="s">
        <v>1687</v>
      </c>
      <c r="E160" s="31" t="s">
        <v>644</v>
      </c>
      <c r="F160" s="31" t="s">
        <v>1447</v>
      </c>
      <c r="G160" s="31"/>
    </row>
    <row r="161" spans="1:7" ht="28.5" hidden="1" customHeight="1" x14ac:dyDescent="0.45">
      <c r="A161" s="27">
        <v>159</v>
      </c>
      <c r="B161" s="28" t="s">
        <v>1715</v>
      </c>
      <c r="C161" s="34" t="s">
        <v>1691</v>
      </c>
      <c r="D161" s="29" t="s">
        <v>1687</v>
      </c>
      <c r="E161" s="28" t="s">
        <v>644</v>
      </c>
      <c r="F161" s="28" t="s">
        <v>1447</v>
      </c>
      <c r="G161" s="28"/>
    </row>
    <row r="162" spans="1:7" ht="28.5" hidden="1" customHeight="1" x14ac:dyDescent="0.45">
      <c r="A162" s="30">
        <v>160</v>
      </c>
      <c r="B162" s="31" t="s">
        <v>1716</v>
      </c>
      <c r="C162" s="35" t="s">
        <v>1691</v>
      </c>
      <c r="D162" s="32" t="s">
        <v>1687</v>
      </c>
      <c r="E162" s="31" t="s">
        <v>644</v>
      </c>
      <c r="F162" s="31" t="s">
        <v>1447</v>
      </c>
      <c r="G162" s="31"/>
    </row>
    <row r="163" spans="1:7" ht="28.5" hidden="1" customHeight="1" x14ac:dyDescent="0.45">
      <c r="A163" s="27">
        <v>161</v>
      </c>
      <c r="B163" s="28" t="s">
        <v>1717</v>
      </c>
      <c r="C163" s="34" t="s">
        <v>1691</v>
      </c>
      <c r="D163" s="29" t="s">
        <v>1687</v>
      </c>
      <c r="E163" s="28" t="s">
        <v>644</v>
      </c>
      <c r="F163" s="28" t="s">
        <v>1447</v>
      </c>
      <c r="G163" s="28"/>
    </row>
    <row r="164" spans="1:7" ht="28.5" hidden="1" customHeight="1" x14ac:dyDescent="0.45">
      <c r="A164" s="30">
        <v>162</v>
      </c>
      <c r="B164" s="31" t="s">
        <v>1718</v>
      </c>
      <c r="C164" s="35" t="s">
        <v>1691</v>
      </c>
      <c r="D164" s="32" t="s">
        <v>1687</v>
      </c>
      <c r="E164" s="31" t="s">
        <v>644</v>
      </c>
      <c r="F164" s="31" t="s">
        <v>1447</v>
      </c>
      <c r="G164" s="31"/>
    </row>
    <row r="165" spans="1:7" ht="28.5" hidden="1" customHeight="1" x14ac:dyDescent="0.45">
      <c r="A165" s="27">
        <v>163</v>
      </c>
      <c r="B165" s="28" t="s">
        <v>1719</v>
      </c>
      <c r="C165" s="34" t="s">
        <v>1691</v>
      </c>
      <c r="D165" s="29" t="s">
        <v>1687</v>
      </c>
      <c r="E165" s="28" t="s">
        <v>644</v>
      </c>
      <c r="F165" s="28" t="s">
        <v>1447</v>
      </c>
      <c r="G165" s="28"/>
    </row>
    <row r="166" spans="1:7" ht="28.5" hidden="1" customHeight="1" x14ac:dyDescent="0.45">
      <c r="A166" s="30">
        <v>164</v>
      </c>
      <c r="B166" s="31" t="s">
        <v>1720</v>
      </c>
      <c r="C166" s="35" t="s">
        <v>1691</v>
      </c>
      <c r="D166" s="32" t="s">
        <v>1687</v>
      </c>
      <c r="E166" s="31" t="s">
        <v>644</v>
      </c>
      <c r="F166" s="31" t="s">
        <v>1447</v>
      </c>
      <c r="G166" s="31"/>
    </row>
    <row r="167" spans="1:7" ht="28.5" hidden="1" customHeight="1" x14ac:dyDescent="0.45">
      <c r="A167" s="27">
        <v>165</v>
      </c>
      <c r="B167" s="28" t="s">
        <v>1721</v>
      </c>
      <c r="C167" s="34" t="s">
        <v>1691</v>
      </c>
      <c r="D167" s="29" t="s">
        <v>1687</v>
      </c>
      <c r="E167" s="28" t="s">
        <v>644</v>
      </c>
      <c r="F167" s="28" t="s">
        <v>1447</v>
      </c>
      <c r="G167" s="28"/>
    </row>
    <row r="168" spans="1:7" ht="28.5" hidden="1" customHeight="1" x14ac:dyDescent="0.45">
      <c r="A168" s="30">
        <v>166</v>
      </c>
      <c r="B168" s="31" t="s">
        <v>1722</v>
      </c>
      <c r="C168" s="35" t="s">
        <v>1691</v>
      </c>
      <c r="D168" s="32" t="s">
        <v>1687</v>
      </c>
      <c r="E168" s="31" t="s">
        <v>644</v>
      </c>
      <c r="F168" s="31" t="s">
        <v>1447</v>
      </c>
      <c r="G168" s="31"/>
    </row>
    <row r="169" spans="1:7" ht="28.5" hidden="1" customHeight="1" x14ac:dyDescent="0.45">
      <c r="A169" s="27">
        <v>167</v>
      </c>
      <c r="B169" s="28" t="s">
        <v>1723</v>
      </c>
      <c r="C169" s="34" t="s">
        <v>1691</v>
      </c>
      <c r="D169" s="29" t="s">
        <v>1687</v>
      </c>
      <c r="E169" s="28" t="s">
        <v>644</v>
      </c>
      <c r="F169" s="28" t="s">
        <v>1447</v>
      </c>
      <c r="G169" s="28"/>
    </row>
    <row r="170" spans="1:7" ht="28.5" hidden="1" customHeight="1" x14ac:dyDescent="0.45">
      <c r="A170" s="30">
        <v>168</v>
      </c>
      <c r="B170" s="31" t="s">
        <v>1724</v>
      </c>
      <c r="C170" s="35" t="s">
        <v>1691</v>
      </c>
      <c r="D170" s="32" t="s">
        <v>1687</v>
      </c>
      <c r="E170" s="31" t="s">
        <v>644</v>
      </c>
      <c r="F170" s="31" t="s">
        <v>1447</v>
      </c>
      <c r="G170" s="31"/>
    </row>
    <row r="171" spans="1:7" ht="28.5" hidden="1" customHeight="1" x14ac:dyDescent="0.45">
      <c r="A171" s="27">
        <v>169</v>
      </c>
      <c r="B171" s="28" t="s">
        <v>1725</v>
      </c>
      <c r="C171" s="34" t="s">
        <v>1691</v>
      </c>
      <c r="D171" s="29" t="s">
        <v>1687</v>
      </c>
      <c r="E171" s="28" t="s">
        <v>644</v>
      </c>
      <c r="F171" s="28" t="s">
        <v>1447</v>
      </c>
      <c r="G171" s="28"/>
    </row>
    <row r="172" spans="1:7" ht="28.5" hidden="1" customHeight="1" x14ac:dyDescent="0.45">
      <c r="A172" s="30">
        <v>170</v>
      </c>
      <c r="B172" s="31" t="s">
        <v>1726</v>
      </c>
      <c r="C172" s="35" t="s">
        <v>1691</v>
      </c>
      <c r="D172" s="32" t="s">
        <v>1687</v>
      </c>
      <c r="E172" s="31" t="s">
        <v>644</v>
      </c>
      <c r="F172" s="31" t="s">
        <v>1447</v>
      </c>
      <c r="G172" s="31"/>
    </row>
    <row r="173" spans="1:7" ht="28.5" hidden="1" customHeight="1" x14ac:dyDescent="0.45">
      <c r="A173" s="27">
        <v>171</v>
      </c>
      <c r="B173" s="28" t="s">
        <v>1727</v>
      </c>
      <c r="C173" s="34" t="s">
        <v>1691</v>
      </c>
      <c r="D173" s="29" t="s">
        <v>1687</v>
      </c>
      <c r="E173" s="28" t="s">
        <v>644</v>
      </c>
      <c r="F173" s="28" t="s">
        <v>1447</v>
      </c>
      <c r="G173" s="28"/>
    </row>
    <row r="174" spans="1:7" ht="28.5" hidden="1" customHeight="1" x14ac:dyDescent="0.45">
      <c r="A174" s="30">
        <v>172</v>
      </c>
      <c r="B174" s="31" t="s">
        <v>1728</v>
      </c>
      <c r="C174" s="35" t="s">
        <v>1691</v>
      </c>
      <c r="D174" s="32" t="s">
        <v>1687</v>
      </c>
      <c r="E174" s="31" t="s">
        <v>644</v>
      </c>
      <c r="F174" s="31" t="s">
        <v>1447</v>
      </c>
      <c r="G174" s="31"/>
    </row>
    <row r="175" spans="1:7" ht="28.5" hidden="1" customHeight="1" x14ac:dyDescent="0.45">
      <c r="A175" s="27">
        <v>173</v>
      </c>
      <c r="B175" s="28" t="s">
        <v>1729</v>
      </c>
      <c r="C175" s="34" t="s">
        <v>1691</v>
      </c>
      <c r="D175" s="29" t="s">
        <v>1687</v>
      </c>
      <c r="E175" s="28" t="s">
        <v>644</v>
      </c>
      <c r="F175" s="28" t="s">
        <v>1447</v>
      </c>
      <c r="G175" s="28"/>
    </row>
    <row r="176" spans="1:7" ht="28.5" hidden="1" customHeight="1" x14ac:dyDescent="0.45">
      <c r="A176" s="30">
        <v>174</v>
      </c>
      <c r="B176" s="31" t="s">
        <v>1730</v>
      </c>
      <c r="C176" s="35" t="s">
        <v>1691</v>
      </c>
      <c r="D176" s="32" t="s">
        <v>1687</v>
      </c>
      <c r="E176" s="31" t="s">
        <v>644</v>
      </c>
      <c r="F176" s="31" t="s">
        <v>1447</v>
      </c>
      <c r="G176" s="31"/>
    </row>
    <row r="177" spans="1:7" ht="28.5" hidden="1" customHeight="1" x14ac:dyDescent="0.45">
      <c r="A177" s="27">
        <v>175</v>
      </c>
      <c r="B177" s="28" t="s">
        <v>1731</v>
      </c>
      <c r="C177" s="34" t="s">
        <v>1732</v>
      </c>
      <c r="D177" s="29" t="s">
        <v>1733</v>
      </c>
      <c r="E177" s="28" t="s">
        <v>762</v>
      </c>
      <c r="F177" s="28" t="s">
        <v>1419</v>
      </c>
      <c r="G177" s="28"/>
    </row>
    <row r="178" spans="1:7" ht="28.5" hidden="1" customHeight="1" x14ac:dyDescent="0.45">
      <c r="A178" s="30">
        <v>176</v>
      </c>
      <c r="B178" s="31" t="s">
        <v>1734</v>
      </c>
      <c r="C178" s="35" t="s">
        <v>1735</v>
      </c>
      <c r="D178" s="32" t="s">
        <v>1733</v>
      </c>
      <c r="E178" s="31" t="s">
        <v>762</v>
      </c>
      <c r="F178" s="31" t="s">
        <v>1447</v>
      </c>
      <c r="G178" s="31"/>
    </row>
    <row r="179" spans="1:7" ht="28.5" hidden="1" customHeight="1" x14ac:dyDescent="0.45">
      <c r="A179" s="27">
        <v>177</v>
      </c>
      <c r="B179" s="28" t="s">
        <v>1736</v>
      </c>
      <c r="C179" s="34" t="s">
        <v>1737</v>
      </c>
      <c r="D179" s="29" t="s">
        <v>1733</v>
      </c>
      <c r="E179" s="28" t="s">
        <v>762</v>
      </c>
      <c r="F179" s="28" t="s">
        <v>1506</v>
      </c>
      <c r="G179" s="28"/>
    </row>
    <row r="180" spans="1:7" ht="28.5" hidden="1" customHeight="1" x14ac:dyDescent="0.45">
      <c r="A180" s="30">
        <v>178</v>
      </c>
      <c r="B180" s="31" t="s">
        <v>1738</v>
      </c>
      <c r="C180" s="35" t="s">
        <v>1739</v>
      </c>
      <c r="D180" s="32" t="s">
        <v>1733</v>
      </c>
      <c r="E180" s="31" t="s">
        <v>762</v>
      </c>
      <c r="F180" s="31" t="s">
        <v>1426</v>
      </c>
      <c r="G180" s="31"/>
    </row>
    <row r="181" spans="1:7" ht="28.5" hidden="1" customHeight="1" x14ac:dyDescent="0.45">
      <c r="A181" s="27">
        <v>179</v>
      </c>
      <c r="B181" s="28" t="s">
        <v>1740</v>
      </c>
      <c r="C181" s="34" t="s">
        <v>1741</v>
      </c>
      <c r="D181" s="29" t="s">
        <v>1733</v>
      </c>
      <c r="E181" s="28" t="s">
        <v>762</v>
      </c>
      <c r="F181" s="28" t="s">
        <v>1430</v>
      </c>
      <c r="G181" s="28"/>
    </row>
    <row r="182" spans="1:7" ht="28.5" hidden="1" customHeight="1" x14ac:dyDescent="0.45">
      <c r="A182" s="30">
        <v>180</v>
      </c>
      <c r="B182" s="31" t="s">
        <v>1742</v>
      </c>
      <c r="C182" s="35" t="s">
        <v>1743</v>
      </c>
      <c r="D182" s="32" t="s">
        <v>1733</v>
      </c>
      <c r="E182" s="31" t="s">
        <v>762</v>
      </c>
      <c r="F182" s="31" t="s">
        <v>1419</v>
      </c>
      <c r="G182" s="31"/>
    </row>
    <row r="183" spans="1:7" ht="28.5" hidden="1" customHeight="1" x14ac:dyDescent="0.45">
      <c r="A183" s="27">
        <v>181</v>
      </c>
      <c r="B183" s="28" t="s">
        <v>1744</v>
      </c>
      <c r="C183" s="34" t="s">
        <v>1745</v>
      </c>
      <c r="D183" s="29" t="s">
        <v>1733</v>
      </c>
      <c r="E183" s="28" t="s">
        <v>762</v>
      </c>
      <c r="F183" s="28" t="s">
        <v>1419</v>
      </c>
      <c r="G183" s="28"/>
    </row>
    <row r="184" spans="1:7" ht="28.5" hidden="1" customHeight="1" x14ac:dyDescent="0.45">
      <c r="A184" s="30">
        <v>182</v>
      </c>
      <c r="B184" s="31" t="s">
        <v>1746</v>
      </c>
      <c r="C184" s="35" t="s">
        <v>1747</v>
      </c>
      <c r="D184" s="32" t="s">
        <v>1733</v>
      </c>
      <c r="E184" s="31" t="s">
        <v>762</v>
      </c>
      <c r="F184" s="31" t="s">
        <v>1451</v>
      </c>
      <c r="G184" s="31"/>
    </row>
    <row r="185" spans="1:7" ht="42.75" hidden="1" customHeight="1" x14ac:dyDescent="0.45">
      <c r="A185" s="27">
        <v>183</v>
      </c>
      <c r="B185" s="28" t="s">
        <v>1748</v>
      </c>
      <c r="C185" s="34" t="s">
        <v>1749</v>
      </c>
      <c r="D185" s="29" t="s">
        <v>1733</v>
      </c>
      <c r="E185" s="28" t="s">
        <v>762</v>
      </c>
      <c r="F185" s="28" t="s">
        <v>1477</v>
      </c>
      <c r="G185" s="28"/>
    </row>
    <row r="186" spans="1:7" hidden="1" x14ac:dyDescent="0.45">
      <c r="A186" s="30">
        <v>184</v>
      </c>
      <c r="B186" s="31" t="s">
        <v>1626</v>
      </c>
      <c r="C186" s="35" t="s">
        <v>1627</v>
      </c>
      <c r="D186" s="32" t="s">
        <v>1733</v>
      </c>
      <c r="E186" s="31" t="s">
        <v>762</v>
      </c>
      <c r="F186" s="31" t="s">
        <v>1435</v>
      </c>
      <c r="G186" s="31"/>
    </row>
    <row r="187" spans="1:7" hidden="1" x14ac:dyDescent="0.45">
      <c r="A187" s="27">
        <v>185</v>
      </c>
      <c r="B187" s="28" t="s">
        <v>1750</v>
      </c>
      <c r="C187" s="34" t="s">
        <v>1751</v>
      </c>
      <c r="D187" s="29" t="s">
        <v>1733</v>
      </c>
      <c r="E187" s="28" t="s">
        <v>762</v>
      </c>
      <c r="F187" s="28" t="s">
        <v>1435</v>
      </c>
      <c r="G187" s="28"/>
    </row>
    <row r="188" spans="1:7" hidden="1" x14ac:dyDescent="0.45">
      <c r="A188" s="30">
        <v>186</v>
      </c>
      <c r="B188" s="31" t="s">
        <v>1544</v>
      </c>
      <c r="C188" s="35" t="s">
        <v>1545</v>
      </c>
      <c r="D188" s="32" t="s">
        <v>1733</v>
      </c>
      <c r="E188" s="31" t="s">
        <v>762</v>
      </c>
      <c r="F188" s="31" t="s">
        <v>1435</v>
      </c>
      <c r="G188" s="31"/>
    </row>
    <row r="189" spans="1:7" ht="42.75" hidden="1" customHeight="1" x14ac:dyDescent="0.45">
      <c r="A189" s="27">
        <v>187</v>
      </c>
      <c r="B189" s="28" t="s">
        <v>1752</v>
      </c>
      <c r="C189" s="34" t="s">
        <v>1753</v>
      </c>
      <c r="D189" s="29" t="s">
        <v>1733</v>
      </c>
      <c r="E189" s="28" t="s">
        <v>762</v>
      </c>
      <c r="F189" s="28" t="s">
        <v>1419</v>
      </c>
      <c r="G189" s="28"/>
    </row>
    <row r="190" spans="1:7" ht="28.5" hidden="1" customHeight="1" x14ac:dyDescent="0.45">
      <c r="A190" s="30">
        <v>188</v>
      </c>
      <c r="B190" s="31" t="s">
        <v>1754</v>
      </c>
      <c r="C190" s="35" t="s">
        <v>1755</v>
      </c>
      <c r="D190" s="32" t="s">
        <v>1733</v>
      </c>
      <c r="E190" s="31" t="s">
        <v>762</v>
      </c>
      <c r="F190" s="31" t="s">
        <v>1419</v>
      </c>
      <c r="G190" s="31"/>
    </row>
    <row r="191" spans="1:7" ht="28.5" hidden="1" customHeight="1" x14ac:dyDescent="0.45">
      <c r="A191" s="27">
        <v>189</v>
      </c>
      <c r="B191" s="28" t="s">
        <v>1756</v>
      </c>
      <c r="C191" s="34" t="s">
        <v>1757</v>
      </c>
      <c r="D191" s="29" t="s">
        <v>1733</v>
      </c>
      <c r="E191" s="28" t="s">
        <v>762</v>
      </c>
      <c r="F191" s="28" t="s">
        <v>1419</v>
      </c>
      <c r="G191" s="28"/>
    </row>
    <row r="192" spans="1:7" ht="28.5" hidden="1" customHeight="1" x14ac:dyDescent="0.45">
      <c r="A192" s="30">
        <v>190</v>
      </c>
      <c r="B192" s="31" t="s">
        <v>1758</v>
      </c>
      <c r="C192" s="35" t="s">
        <v>1759</v>
      </c>
      <c r="D192" s="32" t="s">
        <v>1733</v>
      </c>
      <c r="E192" s="31" t="s">
        <v>762</v>
      </c>
      <c r="F192" s="31" t="s">
        <v>1477</v>
      </c>
      <c r="G192" s="31"/>
    </row>
    <row r="193" spans="1:7" x14ac:dyDescent="0.45">
      <c r="A193" s="27">
        <v>191</v>
      </c>
      <c r="B193" s="28" t="s">
        <v>1552</v>
      </c>
      <c r="C193" s="34" t="s">
        <v>1553</v>
      </c>
      <c r="D193" s="29" t="s">
        <v>1733</v>
      </c>
      <c r="E193" s="28" t="s">
        <v>762</v>
      </c>
      <c r="F193" s="28" t="s">
        <v>1430</v>
      </c>
      <c r="G193" s="28"/>
    </row>
    <row r="194" spans="1:7" hidden="1" x14ac:dyDescent="0.45">
      <c r="A194" s="30">
        <v>192</v>
      </c>
      <c r="B194" s="31" t="s">
        <v>1760</v>
      </c>
      <c r="C194" s="35" t="s">
        <v>1761</v>
      </c>
      <c r="D194" s="32" t="s">
        <v>1733</v>
      </c>
      <c r="E194" s="31" t="s">
        <v>762</v>
      </c>
      <c r="F194" s="31" t="s">
        <v>1430</v>
      </c>
      <c r="G194" s="31"/>
    </row>
    <row r="195" spans="1:7" hidden="1" x14ac:dyDescent="0.45">
      <c r="A195" s="27">
        <v>193</v>
      </c>
      <c r="B195" s="28" t="s">
        <v>1528</v>
      </c>
      <c r="C195" s="34" t="s">
        <v>1529</v>
      </c>
      <c r="D195" s="29" t="s">
        <v>1733</v>
      </c>
      <c r="E195" s="28" t="s">
        <v>762</v>
      </c>
      <c r="F195" s="28" t="s">
        <v>1414</v>
      </c>
      <c r="G195" s="28"/>
    </row>
    <row r="196" spans="1:7" hidden="1" x14ac:dyDescent="0.45">
      <c r="A196" s="30">
        <v>194</v>
      </c>
      <c r="B196" s="31" t="s">
        <v>1450</v>
      </c>
      <c r="C196" s="35" t="s">
        <v>1451</v>
      </c>
      <c r="D196" s="32" t="s">
        <v>1762</v>
      </c>
      <c r="E196" s="31" t="s">
        <v>896</v>
      </c>
      <c r="F196" s="31" t="s">
        <v>1451</v>
      </c>
      <c r="G196" s="31"/>
    </row>
    <row r="197" spans="1:7" hidden="1" x14ac:dyDescent="0.45">
      <c r="A197" s="27">
        <v>195</v>
      </c>
      <c r="B197" s="28" t="s">
        <v>1528</v>
      </c>
      <c r="C197" s="34" t="s">
        <v>1529</v>
      </c>
      <c r="D197" s="29" t="s">
        <v>1762</v>
      </c>
      <c r="E197" s="28" t="s">
        <v>896</v>
      </c>
      <c r="F197" s="28" t="s">
        <v>1414</v>
      </c>
      <c r="G197" s="28"/>
    </row>
    <row r="198" spans="1:7" ht="28.5" hidden="1" customHeight="1" x14ac:dyDescent="0.45">
      <c r="A198" s="30">
        <v>196</v>
      </c>
      <c r="B198" s="31" t="s">
        <v>1763</v>
      </c>
      <c r="C198" s="35" t="s">
        <v>1764</v>
      </c>
      <c r="D198" s="32" t="s">
        <v>1765</v>
      </c>
      <c r="E198" s="31" t="s">
        <v>1035</v>
      </c>
      <c r="F198" s="31" t="s">
        <v>1477</v>
      </c>
      <c r="G198" s="31"/>
    </row>
    <row r="199" spans="1:7" ht="28.5" hidden="1" customHeight="1" x14ac:dyDescent="0.45">
      <c r="A199" s="27">
        <v>197</v>
      </c>
      <c r="B199" s="28" t="s">
        <v>1766</v>
      </c>
      <c r="C199" s="34" t="s">
        <v>1767</v>
      </c>
      <c r="D199" s="29" t="s">
        <v>1765</v>
      </c>
      <c r="E199" s="28" t="s">
        <v>1035</v>
      </c>
      <c r="F199" s="28" t="s">
        <v>1477</v>
      </c>
      <c r="G199" s="28"/>
    </row>
    <row r="200" spans="1:7" ht="42.75" hidden="1" customHeight="1" x14ac:dyDescent="0.45">
      <c r="A200" s="30">
        <v>198</v>
      </c>
      <c r="B200" s="31" t="s">
        <v>1768</v>
      </c>
      <c r="C200" s="35" t="s">
        <v>1769</v>
      </c>
      <c r="D200" s="32" t="s">
        <v>1765</v>
      </c>
      <c r="E200" s="31" t="s">
        <v>1035</v>
      </c>
      <c r="F200" s="31" t="s">
        <v>1447</v>
      </c>
      <c r="G200" s="31"/>
    </row>
    <row r="201" spans="1:7" ht="28.5" hidden="1" customHeight="1" x14ac:dyDescent="0.45">
      <c r="A201" s="27">
        <v>199</v>
      </c>
      <c r="B201" s="28" t="s">
        <v>1770</v>
      </c>
      <c r="C201" s="34" t="s">
        <v>1771</v>
      </c>
      <c r="D201" s="29" t="s">
        <v>1765</v>
      </c>
      <c r="E201" s="28" t="s">
        <v>1035</v>
      </c>
      <c r="F201" s="28" t="s">
        <v>1451</v>
      </c>
      <c r="G201" s="28"/>
    </row>
    <row r="202" spans="1:7" hidden="1" x14ac:dyDescent="0.45">
      <c r="A202" s="30">
        <v>200</v>
      </c>
      <c r="B202" s="31" t="s">
        <v>1772</v>
      </c>
      <c r="C202" s="35" t="s">
        <v>1773</v>
      </c>
      <c r="D202" s="32" t="s">
        <v>1765</v>
      </c>
      <c r="E202" s="31" t="s">
        <v>1035</v>
      </c>
      <c r="F202" s="31" t="s">
        <v>1430</v>
      </c>
      <c r="G202" s="31"/>
    </row>
    <row r="203" spans="1:7" hidden="1" x14ac:dyDescent="0.45">
      <c r="A203" s="27">
        <v>201</v>
      </c>
      <c r="B203" s="28" t="s">
        <v>1774</v>
      </c>
      <c r="C203" s="34" t="s">
        <v>1775</v>
      </c>
      <c r="D203" s="29" t="s">
        <v>1765</v>
      </c>
      <c r="E203" s="28" t="s">
        <v>1035</v>
      </c>
      <c r="F203" s="28" t="s">
        <v>1430</v>
      </c>
      <c r="G203" s="28"/>
    </row>
    <row r="204" spans="1:7" hidden="1" x14ac:dyDescent="0.45">
      <c r="A204" s="30">
        <v>202</v>
      </c>
      <c r="B204" s="31" t="s">
        <v>1776</v>
      </c>
      <c r="C204" s="35" t="s">
        <v>1777</v>
      </c>
      <c r="D204" s="32" t="s">
        <v>1765</v>
      </c>
      <c r="E204" s="31" t="s">
        <v>1035</v>
      </c>
      <c r="F204" s="31" t="s">
        <v>1435</v>
      </c>
      <c r="G204" s="31"/>
    </row>
    <row r="205" spans="1:7" ht="28.5" hidden="1" customHeight="1" x14ac:dyDescent="0.45">
      <c r="A205" s="27">
        <v>203</v>
      </c>
      <c r="B205" s="28" t="s">
        <v>1778</v>
      </c>
      <c r="C205" s="34" t="s">
        <v>1779</v>
      </c>
      <c r="D205" s="29" t="s">
        <v>1765</v>
      </c>
      <c r="E205" s="28" t="s">
        <v>1035</v>
      </c>
      <c r="F205" s="28" t="s">
        <v>1477</v>
      </c>
      <c r="G205" s="28"/>
    </row>
    <row r="206" spans="1:7" ht="28.5" hidden="1" customHeight="1" x14ac:dyDescent="0.45">
      <c r="A206" s="30">
        <v>204</v>
      </c>
      <c r="B206" s="31" t="s">
        <v>1780</v>
      </c>
      <c r="C206" s="35" t="s">
        <v>1781</v>
      </c>
      <c r="D206" s="32" t="s">
        <v>1765</v>
      </c>
      <c r="E206" s="31" t="s">
        <v>1035</v>
      </c>
      <c r="F206" s="31" t="s">
        <v>1477</v>
      </c>
      <c r="G206" s="31"/>
    </row>
    <row r="207" spans="1:7" hidden="1" x14ac:dyDescent="0.45">
      <c r="A207" s="27">
        <v>205</v>
      </c>
      <c r="B207" s="28" t="s">
        <v>1782</v>
      </c>
      <c r="C207" s="34" t="s">
        <v>1783</v>
      </c>
      <c r="D207" s="29" t="s">
        <v>1765</v>
      </c>
      <c r="E207" s="28" t="s">
        <v>1035</v>
      </c>
      <c r="F207" s="28" t="s">
        <v>1419</v>
      </c>
      <c r="G207" s="28"/>
    </row>
    <row r="208" spans="1:7" ht="28.5" hidden="1" customHeight="1" x14ac:dyDescent="0.45">
      <c r="A208" s="30">
        <v>206</v>
      </c>
      <c r="B208" s="31" t="s">
        <v>1784</v>
      </c>
      <c r="C208" s="35" t="s">
        <v>1785</v>
      </c>
      <c r="D208" s="32" t="s">
        <v>1765</v>
      </c>
      <c r="E208" s="31" t="s">
        <v>1035</v>
      </c>
      <c r="F208" s="31" t="s">
        <v>1430</v>
      </c>
      <c r="G208" s="31"/>
    </row>
    <row r="209" spans="1:7" hidden="1" x14ac:dyDescent="0.45">
      <c r="A209" s="27">
        <v>207</v>
      </c>
      <c r="B209" s="28" t="s">
        <v>1786</v>
      </c>
      <c r="C209" s="34" t="s">
        <v>1787</v>
      </c>
      <c r="D209" s="29" t="s">
        <v>1765</v>
      </c>
      <c r="E209" s="28" t="s">
        <v>1035</v>
      </c>
      <c r="F209" s="28" t="s">
        <v>1447</v>
      </c>
      <c r="G209" s="28"/>
    </row>
    <row r="210" spans="1:7" ht="28.5" hidden="1" customHeight="1" x14ac:dyDescent="0.45">
      <c r="A210" s="30">
        <v>208</v>
      </c>
      <c r="B210" s="31" t="s">
        <v>1788</v>
      </c>
      <c r="C210" s="35" t="s">
        <v>1789</v>
      </c>
      <c r="D210" s="32" t="s">
        <v>1765</v>
      </c>
      <c r="E210" s="31" t="s">
        <v>1035</v>
      </c>
      <c r="F210" s="31" t="s">
        <v>1447</v>
      </c>
      <c r="G210" s="31"/>
    </row>
    <row r="211" spans="1:7" hidden="1" x14ac:dyDescent="0.45">
      <c r="A211" s="27">
        <v>209</v>
      </c>
      <c r="B211" s="28" t="s">
        <v>1790</v>
      </c>
      <c r="C211" s="34" t="s">
        <v>1791</v>
      </c>
      <c r="D211" s="29" t="s">
        <v>1765</v>
      </c>
      <c r="E211" s="28" t="s">
        <v>1035</v>
      </c>
      <c r="F211" s="28" t="s">
        <v>1447</v>
      </c>
      <c r="G211" s="28"/>
    </row>
    <row r="212" spans="1:7" ht="28.5" hidden="1" customHeight="1" x14ac:dyDescent="0.45">
      <c r="A212" s="30">
        <v>210</v>
      </c>
      <c r="B212" s="31" t="s">
        <v>1792</v>
      </c>
      <c r="C212" s="35" t="s">
        <v>1793</v>
      </c>
      <c r="D212" s="32" t="s">
        <v>1765</v>
      </c>
      <c r="E212" s="31" t="s">
        <v>1035</v>
      </c>
      <c r="F212" s="31" t="s">
        <v>1435</v>
      </c>
      <c r="G212" s="31"/>
    </row>
    <row r="213" spans="1:7" ht="28.5" hidden="1" customHeight="1" x14ac:dyDescent="0.45">
      <c r="A213" s="27">
        <v>211</v>
      </c>
      <c r="B213" s="28" t="s">
        <v>1794</v>
      </c>
      <c r="C213" s="34" t="s">
        <v>1795</v>
      </c>
      <c r="D213" s="29" t="s">
        <v>1765</v>
      </c>
      <c r="E213" s="28" t="s">
        <v>1035</v>
      </c>
      <c r="F213" s="28" t="s">
        <v>1447</v>
      </c>
      <c r="G213" s="28"/>
    </row>
    <row r="214" spans="1:7" hidden="1" x14ac:dyDescent="0.45">
      <c r="A214" s="30">
        <v>212</v>
      </c>
      <c r="B214" s="31" t="s">
        <v>1796</v>
      </c>
      <c r="C214" s="35" t="s">
        <v>1797</v>
      </c>
      <c r="D214" s="32" t="s">
        <v>1765</v>
      </c>
      <c r="E214" s="31" t="s">
        <v>1035</v>
      </c>
      <c r="F214" s="31" t="s">
        <v>1435</v>
      </c>
      <c r="G214" s="31"/>
    </row>
    <row r="215" spans="1:7" ht="28.5" hidden="1" customHeight="1" x14ac:dyDescent="0.45">
      <c r="A215" s="27">
        <v>213</v>
      </c>
      <c r="B215" s="28" t="s">
        <v>1798</v>
      </c>
      <c r="C215" s="34" t="s">
        <v>1799</v>
      </c>
      <c r="D215" s="29" t="s">
        <v>1765</v>
      </c>
      <c r="E215" s="28" t="s">
        <v>1035</v>
      </c>
      <c r="F215" s="28" t="s">
        <v>1477</v>
      </c>
      <c r="G215" s="28"/>
    </row>
    <row r="216" spans="1:7" ht="28.5" hidden="1" customHeight="1" x14ac:dyDescent="0.45">
      <c r="A216" s="30">
        <v>214</v>
      </c>
      <c r="B216" s="31" t="s">
        <v>1800</v>
      </c>
      <c r="C216" s="35" t="s">
        <v>1801</v>
      </c>
      <c r="D216" s="32" t="s">
        <v>1765</v>
      </c>
      <c r="E216" s="31" t="s">
        <v>1035</v>
      </c>
      <c r="F216" s="31" t="s">
        <v>1477</v>
      </c>
      <c r="G216" s="31"/>
    </row>
    <row r="217" spans="1:7" ht="28.5" hidden="1" customHeight="1" x14ac:dyDescent="0.45">
      <c r="A217" s="27">
        <v>215</v>
      </c>
      <c r="B217" s="28" t="s">
        <v>1802</v>
      </c>
      <c r="C217" s="34" t="s">
        <v>1803</v>
      </c>
      <c r="D217" s="29" t="s">
        <v>1765</v>
      </c>
      <c r="E217" s="28" t="s">
        <v>1035</v>
      </c>
      <c r="F217" s="28" t="s">
        <v>1477</v>
      </c>
      <c r="G217" s="28"/>
    </row>
    <row r="218" spans="1:7" ht="28.5" hidden="1" customHeight="1" x14ac:dyDescent="0.45">
      <c r="A218" s="30">
        <v>216</v>
      </c>
      <c r="B218" s="31" t="s">
        <v>1804</v>
      </c>
      <c r="C218" s="35" t="s">
        <v>1805</v>
      </c>
      <c r="D218" s="32" t="s">
        <v>1765</v>
      </c>
      <c r="E218" s="31" t="s">
        <v>1035</v>
      </c>
      <c r="F218" s="31" t="s">
        <v>1477</v>
      </c>
      <c r="G218" s="31"/>
    </row>
    <row r="219" spans="1:7" ht="28.5" hidden="1" customHeight="1" x14ac:dyDescent="0.45">
      <c r="A219" s="27">
        <v>217</v>
      </c>
      <c r="B219" s="28" t="s">
        <v>1806</v>
      </c>
      <c r="C219" s="34" t="s">
        <v>1807</v>
      </c>
      <c r="D219" s="29" t="s">
        <v>1765</v>
      </c>
      <c r="E219" s="28" t="s">
        <v>1035</v>
      </c>
      <c r="F219" s="28" t="s">
        <v>1477</v>
      </c>
      <c r="G219" s="28"/>
    </row>
    <row r="220" spans="1:7" hidden="1" x14ac:dyDescent="0.45">
      <c r="A220" s="30">
        <v>218</v>
      </c>
      <c r="B220" s="31" t="s">
        <v>1808</v>
      </c>
      <c r="C220" s="35" t="s">
        <v>1809</v>
      </c>
      <c r="D220" s="32" t="s">
        <v>1765</v>
      </c>
      <c r="E220" s="31" t="s">
        <v>1035</v>
      </c>
      <c r="F220" s="31" t="s">
        <v>1430</v>
      </c>
      <c r="G220" s="31"/>
    </row>
    <row r="221" spans="1:7" hidden="1" x14ac:dyDescent="0.45">
      <c r="A221" s="27">
        <v>219</v>
      </c>
      <c r="B221" s="28" t="s">
        <v>1450</v>
      </c>
      <c r="C221" s="34" t="s">
        <v>1451</v>
      </c>
      <c r="D221" s="29" t="s">
        <v>1765</v>
      </c>
      <c r="E221" s="28" t="s">
        <v>1035</v>
      </c>
      <c r="F221" s="28" t="s">
        <v>1451</v>
      </c>
      <c r="G221" s="28"/>
    </row>
    <row r="222" spans="1:7" ht="71.25" hidden="1" customHeight="1" x14ac:dyDescent="0.45">
      <c r="A222" s="30">
        <v>220</v>
      </c>
      <c r="B222" s="31" t="s">
        <v>1810</v>
      </c>
      <c r="C222" s="35" t="s">
        <v>1811</v>
      </c>
      <c r="D222" s="32" t="s">
        <v>1765</v>
      </c>
      <c r="E222" s="31" t="s">
        <v>1035</v>
      </c>
      <c r="F222" s="31" t="s">
        <v>1451</v>
      </c>
      <c r="G222" s="31"/>
    </row>
    <row r="223" spans="1:7" ht="28.5" hidden="1" customHeight="1" x14ac:dyDescent="0.45">
      <c r="A223" s="27">
        <v>221</v>
      </c>
      <c r="B223" s="28" t="s">
        <v>1812</v>
      </c>
      <c r="C223" s="34" t="s">
        <v>1813</v>
      </c>
      <c r="D223" s="29" t="s">
        <v>1765</v>
      </c>
      <c r="E223" s="28" t="s">
        <v>1035</v>
      </c>
      <c r="F223" s="28" t="s">
        <v>1447</v>
      </c>
      <c r="G223" s="28"/>
    </row>
    <row r="224" spans="1:7" ht="28.5" hidden="1" customHeight="1" x14ac:dyDescent="0.45">
      <c r="A224" s="30" t="s">
        <v>2330</v>
      </c>
      <c r="B224" s="31" t="s">
        <v>1814</v>
      </c>
      <c r="C224" s="35" t="s">
        <v>1815</v>
      </c>
      <c r="D224" s="32" t="s">
        <v>1765</v>
      </c>
      <c r="E224" s="31" t="s">
        <v>1035</v>
      </c>
      <c r="F224" s="31" t="s">
        <v>1447</v>
      </c>
      <c r="G224" s="31"/>
    </row>
    <row r="225" spans="1:7" ht="28.5" hidden="1" customHeight="1" x14ac:dyDescent="0.45">
      <c r="A225" s="27">
        <v>223</v>
      </c>
      <c r="B225" s="28" t="s">
        <v>1816</v>
      </c>
      <c r="C225" s="34" t="s">
        <v>1817</v>
      </c>
      <c r="D225" s="29" t="s">
        <v>1818</v>
      </c>
      <c r="E225" s="28" t="s">
        <v>1153</v>
      </c>
      <c r="F225" s="28" t="s">
        <v>1435</v>
      </c>
      <c r="G225" s="28"/>
    </row>
    <row r="226" spans="1:7" ht="28.5" hidden="1" customHeight="1" x14ac:dyDescent="0.45">
      <c r="A226" s="30">
        <v>224</v>
      </c>
      <c r="B226" s="31" t="s">
        <v>1819</v>
      </c>
      <c r="C226" s="35" t="s">
        <v>1820</v>
      </c>
      <c r="D226" s="32" t="s">
        <v>1818</v>
      </c>
      <c r="E226" s="31" t="s">
        <v>1153</v>
      </c>
      <c r="F226" s="31" t="s">
        <v>1430</v>
      </c>
      <c r="G226" s="31"/>
    </row>
    <row r="227" spans="1:7" ht="28.5" hidden="1" customHeight="1" x14ac:dyDescent="0.45">
      <c r="A227" s="27">
        <v>225</v>
      </c>
      <c r="B227" s="28" t="s">
        <v>1821</v>
      </c>
      <c r="C227" s="34" t="s">
        <v>1822</v>
      </c>
      <c r="D227" s="29" t="s">
        <v>1818</v>
      </c>
      <c r="E227" s="28" t="s">
        <v>1153</v>
      </c>
      <c r="F227" s="28" t="s">
        <v>1435</v>
      </c>
      <c r="G227" s="28"/>
    </row>
    <row r="228" spans="1:7" ht="28.5" hidden="1" customHeight="1" x14ac:dyDescent="0.45">
      <c r="A228" s="30">
        <v>226</v>
      </c>
      <c r="B228" s="31" t="s">
        <v>1823</v>
      </c>
      <c r="C228" s="35" t="s">
        <v>1824</v>
      </c>
      <c r="D228" s="32" t="s">
        <v>1825</v>
      </c>
      <c r="E228" s="31" t="s">
        <v>1184</v>
      </c>
      <c r="F228" s="31" t="s">
        <v>1435</v>
      </c>
      <c r="G228" s="31"/>
    </row>
    <row r="229" spans="1:7" hidden="1" x14ac:dyDescent="0.45">
      <c r="A229" s="27">
        <v>227</v>
      </c>
      <c r="B229" s="28" t="s">
        <v>1782</v>
      </c>
      <c r="C229" s="34" t="s">
        <v>1783</v>
      </c>
      <c r="D229" s="29" t="s">
        <v>1825</v>
      </c>
      <c r="E229" s="28" t="s">
        <v>1184</v>
      </c>
      <c r="F229" s="28" t="s">
        <v>1419</v>
      </c>
      <c r="G229" s="28"/>
    </row>
    <row r="230" spans="1:7" hidden="1" x14ac:dyDescent="0.45">
      <c r="A230" s="30">
        <v>228</v>
      </c>
      <c r="B230" s="31" t="s">
        <v>1826</v>
      </c>
      <c r="C230" s="35"/>
      <c r="D230" s="32" t="s">
        <v>1825</v>
      </c>
      <c r="E230" s="31" t="s">
        <v>1184</v>
      </c>
      <c r="F230" s="31" t="s">
        <v>1430</v>
      </c>
      <c r="G230" s="31"/>
    </row>
    <row r="231" spans="1:7" hidden="1" x14ac:dyDescent="0.45">
      <c r="A231" s="27">
        <v>229</v>
      </c>
      <c r="B231" s="28" t="s">
        <v>1827</v>
      </c>
      <c r="C231" s="34" t="s">
        <v>1828</v>
      </c>
      <c r="D231" s="29" t="s">
        <v>1829</v>
      </c>
      <c r="E231" s="28" t="s">
        <v>1214</v>
      </c>
      <c r="F231" s="28" t="s">
        <v>1472</v>
      </c>
      <c r="G231" s="28"/>
    </row>
    <row r="232" spans="1:7" ht="28.5" hidden="1" customHeight="1" x14ac:dyDescent="0.45">
      <c r="A232" s="30">
        <v>230</v>
      </c>
      <c r="B232" s="31" t="s">
        <v>1830</v>
      </c>
      <c r="C232" s="35" t="s">
        <v>1831</v>
      </c>
      <c r="D232" s="32" t="s">
        <v>1829</v>
      </c>
      <c r="E232" s="31" t="s">
        <v>1214</v>
      </c>
      <c r="F232" s="31" t="s">
        <v>1472</v>
      </c>
      <c r="G232" s="31"/>
    </row>
    <row r="233" spans="1:7" ht="28.5" hidden="1" customHeight="1" x14ac:dyDescent="0.45">
      <c r="A233" s="27">
        <v>231</v>
      </c>
      <c r="B233" s="28" t="s">
        <v>1832</v>
      </c>
      <c r="C233" s="34" t="s">
        <v>1833</v>
      </c>
      <c r="D233" s="29" t="s">
        <v>1829</v>
      </c>
      <c r="E233" s="28" t="s">
        <v>1214</v>
      </c>
      <c r="F233" s="28" t="s">
        <v>1506</v>
      </c>
      <c r="G233" s="28"/>
    </row>
    <row r="234" spans="1:7" hidden="1" x14ac:dyDescent="0.45">
      <c r="A234" s="30">
        <v>232</v>
      </c>
      <c r="B234" s="31" t="s">
        <v>1834</v>
      </c>
      <c r="C234" s="35" t="s">
        <v>1835</v>
      </c>
      <c r="D234" s="32" t="s">
        <v>1829</v>
      </c>
      <c r="E234" s="31" t="s">
        <v>1214</v>
      </c>
      <c r="F234" s="31" t="s">
        <v>1419</v>
      </c>
      <c r="G234" s="31"/>
    </row>
    <row r="235" spans="1:7" hidden="1" x14ac:dyDescent="0.45">
      <c r="A235" s="27">
        <v>233</v>
      </c>
      <c r="B235" s="28" t="s">
        <v>1836</v>
      </c>
      <c r="C235" s="34" t="s">
        <v>1837</v>
      </c>
      <c r="D235" s="29" t="s">
        <v>1838</v>
      </c>
      <c r="E235" s="28" t="s">
        <v>1405</v>
      </c>
      <c r="F235" s="28" t="s">
        <v>1430</v>
      </c>
      <c r="G235" s="28"/>
    </row>
    <row r="236" spans="1:7" hidden="1" x14ac:dyDescent="0.45">
      <c r="A236" s="30">
        <v>234</v>
      </c>
      <c r="B236" s="31" t="s">
        <v>1839</v>
      </c>
      <c r="C236" s="35" t="s">
        <v>1840</v>
      </c>
      <c r="D236" s="32" t="s">
        <v>1838</v>
      </c>
      <c r="E236" s="31" t="s">
        <v>1405</v>
      </c>
      <c r="F236" s="31" t="s">
        <v>1430</v>
      </c>
      <c r="G236" s="31"/>
    </row>
    <row r="237" spans="1:7" ht="28.5" hidden="1" customHeight="1" x14ac:dyDescent="0.45">
      <c r="A237" s="27">
        <v>235</v>
      </c>
      <c r="B237" s="28" t="s">
        <v>1746</v>
      </c>
      <c r="C237" s="34" t="s">
        <v>1747</v>
      </c>
      <c r="D237" s="29" t="s">
        <v>1838</v>
      </c>
      <c r="E237" s="28" t="s">
        <v>1405</v>
      </c>
      <c r="F237" s="28" t="s">
        <v>1451</v>
      </c>
      <c r="G237" s="28"/>
    </row>
    <row r="238" spans="1:7" hidden="1" x14ac:dyDescent="0.45">
      <c r="A238" s="30">
        <v>236</v>
      </c>
      <c r="B238" s="31" t="s">
        <v>1841</v>
      </c>
      <c r="C238" s="35" t="s">
        <v>1842</v>
      </c>
      <c r="D238" s="32" t="s">
        <v>1838</v>
      </c>
      <c r="E238" s="31" t="s">
        <v>1405</v>
      </c>
      <c r="F238" s="31" t="s">
        <v>1477</v>
      </c>
      <c r="G238" s="31"/>
    </row>
    <row r="239" spans="1:7" hidden="1" x14ac:dyDescent="0.45">
      <c r="A239" s="27">
        <v>237</v>
      </c>
      <c r="B239" s="28" t="s">
        <v>1843</v>
      </c>
      <c r="C239" s="34" t="s">
        <v>1844</v>
      </c>
      <c r="D239" s="29" t="s">
        <v>1838</v>
      </c>
      <c r="E239" s="28" t="s">
        <v>1405</v>
      </c>
      <c r="F239" s="28" t="s">
        <v>1477</v>
      </c>
      <c r="G239" s="28"/>
    </row>
    <row r="240" spans="1:7" ht="28.5" hidden="1" customHeight="1" x14ac:dyDescent="0.45">
      <c r="A240" s="30">
        <v>238</v>
      </c>
      <c r="B240" s="31" t="s">
        <v>1845</v>
      </c>
      <c r="C240" s="35" t="s">
        <v>1846</v>
      </c>
      <c r="D240" s="32" t="s">
        <v>1838</v>
      </c>
      <c r="E240" s="31" t="s">
        <v>1405</v>
      </c>
      <c r="F240" s="31" t="s">
        <v>1477</v>
      </c>
      <c r="G240" s="31"/>
    </row>
    <row r="241" spans="1:7" ht="28.5" hidden="1" customHeight="1" x14ac:dyDescent="0.45">
      <c r="A241" s="27">
        <v>239</v>
      </c>
      <c r="B241" s="28" t="s">
        <v>1847</v>
      </c>
      <c r="C241" s="34" t="s">
        <v>1848</v>
      </c>
      <c r="D241" s="29" t="s">
        <v>1849</v>
      </c>
      <c r="E241" s="28" t="s">
        <v>1406</v>
      </c>
      <c r="F241" s="28" t="s">
        <v>1571</v>
      </c>
      <c r="G241" s="28"/>
    </row>
    <row r="242" spans="1:7" hidden="1" x14ac:dyDescent="0.45">
      <c r="A242" s="30">
        <v>240</v>
      </c>
      <c r="B242" s="31" t="s">
        <v>1569</v>
      </c>
      <c r="C242" s="35" t="s">
        <v>1570</v>
      </c>
      <c r="D242" s="32" t="s">
        <v>1849</v>
      </c>
      <c r="E242" s="31" t="s">
        <v>1406</v>
      </c>
      <c r="F242" s="31" t="s">
        <v>1571</v>
      </c>
      <c r="G242" s="31"/>
    </row>
    <row r="243" spans="1:7" ht="28.5" hidden="1" customHeight="1" x14ac:dyDescent="0.45">
      <c r="A243" s="27">
        <v>241</v>
      </c>
      <c r="B243" s="28" t="s">
        <v>1850</v>
      </c>
      <c r="C243" s="34" t="s">
        <v>1851</v>
      </c>
      <c r="D243" s="29" t="s">
        <v>1849</v>
      </c>
      <c r="E243" s="28" t="s">
        <v>1406</v>
      </c>
      <c r="F243" s="28" t="s">
        <v>1571</v>
      </c>
      <c r="G243" s="28"/>
    </row>
    <row r="244" spans="1:7" hidden="1" x14ac:dyDescent="0.45">
      <c r="A244" s="30">
        <v>242</v>
      </c>
      <c r="B244" s="31" t="s">
        <v>1852</v>
      </c>
      <c r="C244" s="35" t="s">
        <v>1853</v>
      </c>
      <c r="D244" s="32" t="s">
        <v>1849</v>
      </c>
      <c r="E244" s="31" t="s">
        <v>1406</v>
      </c>
      <c r="F244" s="31" t="s">
        <v>1571</v>
      </c>
      <c r="G244" s="31"/>
    </row>
    <row r="245" spans="1:7" ht="28.5" hidden="1" customHeight="1" x14ac:dyDescent="0.45">
      <c r="A245" s="27">
        <v>243</v>
      </c>
      <c r="B245" s="28" t="s">
        <v>1854</v>
      </c>
      <c r="C245" s="34" t="s">
        <v>1855</v>
      </c>
      <c r="D245" s="29" t="s">
        <v>1849</v>
      </c>
      <c r="E245" s="28" t="s">
        <v>1406</v>
      </c>
      <c r="F245" s="28" t="s">
        <v>1571</v>
      </c>
      <c r="G245" s="28"/>
    </row>
    <row r="246" spans="1:7" ht="28.5" hidden="1" customHeight="1" x14ac:dyDescent="0.45">
      <c r="A246" s="30">
        <v>244</v>
      </c>
      <c r="B246" s="31" t="s">
        <v>1856</v>
      </c>
      <c r="C246" s="35" t="s">
        <v>1857</v>
      </c>
      <c r="D246" s="32" t="s">
        <v>1849</v>
      </c>
      <c r="E246" s="31" t="s">
        <v>1406</v>
      </c>
      <c r="F246" s="31" t="s">
        <v>1571</v>
      </c>
      <c r="G246" s="31"/>
    </row>
    <row r="247" spans="1:7" hidden="1" x14ac:dyDescent="0.45">
      <c r="A247" s="27">
        <v>245</v>
      </c>
      <c r="B247" s="28" t="s">
        <v>1858</v>
      </c>
      <c r="C247" s="34" t="s">
        <v>1859</v>
      </c>
      <c r="D247" s="29" t="s">
        <v>1849</v>
      </c>
      <c r="E247" s="28" t="s">
        <v>1406</v>
      </c>
      <c r="F247" s="28" t="s">
        <v>1571</v>
      </c>
      <c r="G247" s="28"/>
    </row>
    <row r="248" spans="1:7" hidden="1" x14ac:dyDescent="0.45">
      <c r="A248" s="30">
        <v>246</v>
      </c>
      <c r="B248" s="31" t="s">
        <v>1860</v>
      </c>
      <c r="C248" s="35" t="s">
        <v>1861</v>
      </c>
      <c r="D248" s="32" t="s">
        <v>1849</v>
      </c>
      <c r="E248" s="31" t="s">
        <v>1406</v>
      </c>
      <c r="F248" s="31" t="s">
        <v>1571</v>
      </c>
      <c r="G248" s="31"/>
    </row>
    <row r="249" spans="1:7" ht="28.5" hidden="1" customHeight="1" x14ac:dyDescent="0.45">
      <c r="A249" s="27">
        <v>247</v>
      </c>
      <c r="B249" s="28" t="s">
        <v>1862</v>
      </c>
      <c r="C249" s="34" t="s">
        <v>1863</v>
      </c>
      <c r="D249" s="29" t="s">
        <v>1849</v>
      </c>
      <c r="E249" s="28" t="s">
        <v>1406</v>
      </c>
      <c r="F249" s="28" t="s">
        <v>1571</v>
      </c>
      <c r="G249" s="28"/>
    </row>
    <row r="250" spans="1:7" hidden="1" x14ac:dyDescent="0.45">
      <c r="A250" s="30">
        <v>248</v>
      </c>
      <c r="B250" s="31" t="s">
        <v>1864</v>
      </c>
      <c r="C250" s="35" t="s">
        <v>1865</v>
      </c>
      <c r="D250" s="32" t="s">
        <v>1866</v>
      </c>
      <c r="E250" s="31" t="s">
        <v>1406</v>
      </c>
      <c r="F250" s="31" t="s">
        <v>1571</v>
      </c>
      <c r="G250" s="31"/>
    </row>
    <row r="251" spans="1:7" ht="28.5" hidden="1" customHeight="1" x14ac:dyDescent="0.45">
      <c r="A251" s="27">
        <v>249</v>
      </c>
      <c r="B251" s="28" t="s">
        <v>1867</v>
      </c>
      <c r="C251" s="34" t="s">
        <v>1868</v>
      </c>
      <c r="D251" s="29" t="s">
        <v>1866</v>
      </c>
      <c r="E251" s="28" t="s">
        <v>1406</v>
      </c>
      <c r="F251" s="28" t="s">
        <v>1571</v>
      </c>
      <c r="G251" s="28"/>
    </row>
    <row r="252" spans="1:7" hidden="1" x14ac:dyDescent="0.45">
      <c r="A252" s="30">
        <v>250</v>
      </c>
      <c r="B252" s="31" t="s">
        <v>1869</v>
      </c>
      <c r="C252" s="35" t="s">
        <v>1870</v>
      </c>
      <c r="D252" s="32" t="s">
        <v>1866</v>
      </c>
      <c r="E252" s="31" t="s">
        <v>1406</v>
      </c>
      <c r="F252" s="31" t="s">
        <v>1571</v>
      </c>
      <c r="G252" s="31"/>
    </row>
    <row r="253" spans="1:7" hidden="1" x14ac:dyDescent="0.45">
      <c r="A253" s="27">
        <v>251</v>
      </c>
      <c r="B253" s="28" t="s">
        <v>1871</v>
      </c>
      <c r="C253" s="34" t="s">
        <v>1872</v>
      </c>
      <c r="D253" s="29" t="s">
        <v>1866</v>
      </c>
      <c r="E253" s="28" t="s">
        <v>1406</v>
      </c>
      <c r="F253" s="28" t="s">
        <v>1571</v>
      </c>
      <c r="G253" s="28"/>
    </row>
    <row r="254" spans="1:7" hidden="1" x14ac:dyDescent="0.45">
      <c r="A254" s="30">
        <v>252</v>
      </c>
      <c r="B254" s="31" t="s">
        <v>1873</v>
      </c>
      <c r="C254" s="35" t="s">
        <v>1874</v>
      </c>
      <c r="D254" s="32" t="s">
        <v>1866</v>
      </c>
      <c r="E254" s="31" t="s">
        <v>1406</v>
      </c>
      <c r="F254" s="31" t="s">
        <v>1571</v>
      </c>
      <c r="G254" s="31"/>
    </row>
    <row r="255" spans="1:7" hidden="1" x14ac:dyDescent="0.45">
      <c r="A255" s="27">
        <v>253</v>
      </c>
      <c r="B255" s="28" t="s">
        <v>1875</v>
      </c>
      <c r="C255" s="34" t="s">
        <v>1876</v>
      </c>
      <c r="D255" s="29" t="s">
        <v>1866</v>
      </c>
      <c r="E255" s="28" t="s">
        <v>1406</v>
      </c>
      <c r="F255" s="28" t="s">
        <v>1571</v>
      </c>
      <c r="G255" s="28"/>
    </row>
    <row r="256" spans="1:7" hidden="1" x14ac:dyDescent="0.45">
      <c r="A256" s="30">
        <v>254</v>
      </c>
      <c r="B256" s="31" t="s">
        <v>1877</v>
      </c>
      <c r="C256" s="35" t="s">
        <v>1878</v>
      </c>
      <c r="D256" s="32" t="s">
        <v>1866</v>
      </c>
      <c r="E256" s="31" t="s">
        <v>1406</v>
      </c>
      <c r="F256" s="31" t="s">
        <v>1571</v>
      </c>
      <c r="G256" s="31"/>
    </row>
    <row r="257" spans="1:7" hidden="1" x14ac:dyDescent="0.45">
      <c r="A257" s="27">
        <v>255</v>
      </c>
      <c r="B257" s="28" t="s">
        <v>1879</v>
      </c>
      <c r="C257" s="34" t="s">
        <v>1880</v>
      </c>
      <c r="D257" s="29" t="s">
        <v>1866</v>
      </c>
      <c r="E257" s="28" t="s">
        <v>1406</v>
      </c>
      <c r="F257" s="28" t="s">
        <v>1571</v>
      </c>
      <c r="G257" s="28"/>
    </row>
    <row r="258" spans="1:7" hidden="1" x14ac:dyDescent="0.45">
      <c r="A258" s="30">
        <v>256</v>
      </c>
      <c r="B258" s="31" t="s">
        <v>1881</v>
      </c>
      <c r="C258" s="35" t="s">
        <v>1882</v>
      </c>
      <c r="D258" s="32" t="s">
        <v>1866</v>
      </c>
      <c r="E258" s="31" t="s">
        <v>1406</v>
      </c>
      <c r="F258" s="31" t="s">
        <v>1571</v>
      </c>
      <c r="G258" s="31"/>
    </row>
    <row r="259" spans="1:7" ht="28.5" hidden="1" customHeight="1" x14ac:dyDescent="0.45">
      <c r="A259" s="27">
        <v>257</v>
      </c>
      <c r="B259" s="28" t="s">
        <v>1883</v>
      </c>
      <c r="C259" s="34" t="s">
        <v>1884</v>
      </c>
      <c r="D259" s="29" t="s">
        <v>1866</v>
      </c>
      <c r="E259" s="28" t="s">
        <v>1406</v>
      </c>
      <c r="F259" s="28" t="s">
        <v>1571</v>
      </c>
      <c r="G259" s="28"/>
    </row>
    <row r="260" spans="1:7" hidden="1" x14ac:dyDescent="0.45">
      <c r="A260" s="30">
        <v>258</v>
      </c>
      <c r="B260" s="31" t="s">
        <v>1885</v>
      </c>
      <c r="C260" s="35" t="s">
        <v>1886</v>
      </c>
      <c r="D260" s="32" t="s">
        <v>1866</v>
      </c>
      <c r="E260" s="31" t="s">
        <v>1406</v>
      </c>
      <c r="F260" s="31" t="s">
        <v>1430</v>
      </c>
      <c r="G260" s="31"/>
    </row>
    <row r="261" spans="1:7" ht="28.5" hidden="1" customHeight="1" x14ac:dyDescent="0.45">
      <c r="A261" s="27">
        <v>259</v>
      </c>
      <c r="B261" s="28" t="s">
        <v>1887</v>
      </c>
      <c r="C261" s="34" t="s">
        <v>1888</v>
      </c>
      <c r="D261" s="29" t="s">
        <v>1889</v>
      </c>
      <c r="E261" s="28" t="s">
        <v>1406</v>
      </c>
      <c r="F261" s="28" t="s">
        <v>1430</v>
      </c>
      <c r="G261" s="28"/>
    </row>
    <row r="262" spans="1:7" ht="28.5" hidden="1" customHeight="1" x14ac:dyDescent="0.45">
      <c r="A262" s="30">
        <v>260</v>
      </c>
      <c r="B262" s="31" t="s">
        <v>1890</v>
      </c>
      <c r="C262" s="35" t="s">
        <v>1891</v>
      </c>
      <c r="D262" s="32" t="s">
        <v>1889</v>
      </c>
      <c r="E262" s="31" t="s">
        <v>1406</v>
      </c>
      <c r="F262" s="31" t="s">
        <v>1430</v>
      </c>
      <c r="G262" s="31"/>
    </row>
    <row r="263" spans="1:7" hidden="1" x14ac:dyDescent="0.45">
      <c r="A263" s="27">
        <v>261</v>
      </c>
      <c r="B263" s="28" t="s">
        <v>1892</v>
      </c>
      <c r="C263" s="34" t="s">
        <v>1893</v>
      </c>
      <c r="D263" s="29" t="s">
        <v>1889</v>
      </c>
      <c r="E263" s="28" t="s">
        <v>1406</v>
      </c>
      <c r="F263" s="28" t="s">
        <v>1430</v>
      </c>
      <c r="G263" s="28"/>
    </row>
    <row r="264" spans="1:7" ht="28.5" hidden="1" customHeight="1" x14ac:dyDescent="0.45">
      <c r="A264" s="30">
        <v>262</v>
      </c>
      <c r="B264" s="31" t="s">
        <v>1894</v>
      </c>
      <c r="C264" s="35" t="s">
        <v>1895</v>
      </c>
      <c r="D264" s="32" t="s">
        <v>1889</v>
      </c>
      <c r="E264" s="31" t="s">
        <v>1406</v>
      </c>
      <c r="F264" s="31" t="s">
        <v>1430</v>
      </c>
      <c r="G264" s="31"/>
    </row>
    <row r="265" spans="1:7" ht="28.5" hidden="1" customHeight="1" x14ac:dyDescent="0.45">
      <c r="A265" s="27">
        <v>263</v>
      </c>
      <c r="B265" s="28" t="s">
        <v>1896</v>
      </c>
      <c r="C265" s="34" t="s">
        <v>1897</v>
      </c>
      <c r="D265" s="29" t="s">
        <v>1889</v>
      </c>
      <c r="E265" s="28" t="s">
        <v>1406</v>
      </c>
      <c r="F265" s="28" t="s">
        <v>1430</v>
      </c>
      <c r="G265" s="28"/>
    </row>
    <row r="266" spans="1:7" ht="28.5" hidden="1" customHeight="1" x14ac:dyDescent="0.45">
      <c r="A266" s="30">
        <v>264</v>
      </c>
      <c r="B266" s="31" t="s">
        <v>1898</v>
      </c>
      <c r="C266" s="35" t="s">
        <v>1899</v>
      </c>
      <c r="D266" s="32" t="s">
        <v>1900</v>
      </c>
      <c r="E266" s="31" t="s">
        <v>1406</v>
      </c>
      <c r="F266" s="31" t="s">
        <v>1571</v>
      </c>
      <c r="G266" s="31"/>
    </row>
    <row r="267" spans="1:7" hidden="1" x14ac:dyDescent="0.45">
      <c r="A267" s="27">
        <v>265</v>
      </c>
      <c r="B267" s="28" t="s">
        <v>1901</v>
      </c>
      <c r="C267" s="34" t="s">
        <v>1902</v>
      </c>
      <c r="D267" s="29" t="s">
        <v>1900</v>
      </c>
      <c r="E267" s="28" t="s">
        <v>1406</v>
      </c>
      <c r="F267" s="28" t="s">
        <v>1571</v>
      </c>
      <c r="G267" s="28"/>
    </row>
    <row r="268" spans="1:7" hidden="1" x14ac:dyDescent="0.45">
      <c r="A268" s="30">
        <v>266</v>
      </c>
      <c r="B268" s="31" t="s">
        <v>1903</v>
      </c>
      <c r="C268" s="35" t="s">
        <v>1904</v>
      </c>
      <c r="D268" s="32" t="s">
        <v>1900</v>
      </c>
      <c r="E268" s="31" t="s">
        <v>1406</v>
      </c>
      <c r="F268" s="31" t="s">
        <v>1571</v>
      </c>
      <c r="G268" s="31"/>
    </row>
    <row r="269" spans="1:7" hidden="1" x14ac:dyDescent="0.45">
      <c r="A269" s="27">
        <v>267</v>
      </c>
      <c r="B269" s="28" t="s">
        <v>1905</v>
      </c>
      <c r="C269" s="34" t="s">
        <v>1906</v>
      </c>
      <c r="D269" s="29" t="s">
        <v>1900</v>
      </c>
      <c r="E269" s="28" t="s">
        <v>1406</v>
      </c>
      <c r="F269" s="28" t="s">
        <v>1426</v>
      </c>
      <c r="G269" s="28"/>
    </row>
    <row r="270" spans="1:7" hidden="1" x14ac:dyDescent="0.45">
      <c r="A270" s="30">
        <v>268</v>
      </c>
      <c r="B270" s="31" t="s">
        <v>1907</v>
      </c>
      <c r="C270" s="35" t="s">
        <v>1908</v>
      </c>
      <c r="D270" s="32" t="s">
        <v>1900</v>
      </c>
      <c r="E270" s="31" t="s">
        <v>1406</v>
      </c>
      <c r="F270" s="31" t="s">
        <v>1571</v>
      </c>
      <c r="G270" s="31"/>
    </row>
    <row r="271" spans="1:7" ht="28.5" hidden="1" customHeight="1" x14ac:dyDescent="0.45">
      <c r="A271" s="27">
        <v>269</v>
      </c>
      <c r="B271" s="28" t="s">
        <v>1909</v>
      </c>
      <c r="C271" s="34" t="s">
        <v>1910</v>
      </c>
      <c r="D271" s="29" t="s">
        <v>1900</v>
      </c>
      <c r="E271" s="28" t="s">
        <v>1406</v>
      </c>
      <c r="F271" s="28" t="s">
        <v>1571</v>
      </c>
      <c r="G271" s="28"/>
    </row>
    <row r="272" spans="1:7" hidden="1" x14ac:dyDescent="0.45">
      <c r="A272" s="30">
        <v>270</v>
      </c>
      <c r="B272" s="31" t="s">
        <v>1911</v>
      </c>
      <c r="C272" s="35" t="s">
        <v>1912</v>
      </c>
      <c r="D272" s="32" t="s">
        <v>1900</v>
      </c>
      <c r="E272" s="31" t="s">
        <v>1406</v>
      </c>
      <c r="F272" s="31" t="s">
        <v>1571</v>
      </c>
      <c r="G272" s="31"/>
    </row>
    <row r="273" spans="1:7" hidden="1" x14ac:dyDescent="0.45">
      <c r="A273" s="27">
        <v>271</v>
      </c>
      <c r="B273" s="28" t="s">
        <v>1913</v>
      </c>
      <c r="C273" s="34" t="s">
        <v>1914</v>
      </c>
      <c r="D273" s="29" t="s">
        <v>1900</v>
      </c>
      <c r="E273" s="28" t="s">
        <v>1406</v>
      </c>
      <c r="F273" s="28" t="s">
        <v>1419</v>
      </c>
      <c r="G273" s="28"/>
    </row>
    <row r="274" spans="1:7" hidden="1" x14ac:dyDescent="0.45">
      <c r="A274" s="30">
        <v>272</v>
      </c>
      <c r="B274" s="31" t="s">
        <v>1915</v>
      </c>
      <c r="C274" s="35" t="s">
        <v>1916</v>
      </c>
      <c r="D274" s="32" t="s">
        <v>1900</v>
      </c>
      <c r="E274" s="31" t="s">
        <v>1406</v>
      </c>
      <c r="F274" s="31" t="s">
        <v>1435</v>
      </c>
      <c r="G274" s="31"/>
    </row>
    <row r="275" spans="1:7" ht="28.5" hidden="1" customHeight="1" x14ac:dyDescent="0.45">
      <c r="A275" s="27">
        <v>273</v>
      </c>
      <c r="B275" s="28" t="s">
        <v>1917</v>
      </c>
      <c r="C275" s="34" t="s">
        <v>1918</v>
      </c>
      <c r="D275" s="29" t="s">
        <v>1900</v>
      </c>
      <c r="E275" s="28" t="s">
        <v>1406</v>
      </c>
      <c r="F275" s="28" t="s">
        <v>1571</v>
      </c>
      <c r="G275" s="28"/>
    </row>
    <row r="276" spans="1:7" ht="28.5" hidden="1" customHeight="1" x14ac:dyDescent="0.45">
      <c r="A276" s="30">
        <v>274</v>
      </c>
      <c r="B276" s="31" t="s">
        <v>1919</v>
      </c>
      <c r="C276" s="35" t="s">
        <v>1920</v>
      </c>
      <c r="D276" s="32" t="s">
        <v>1900</v>
      </c>
      <c r="E276" s="31" t="s">
        <v>1406</v>
      </c>
      <c r="F276" s="31" t="s">
        <v>1419</v>
      </c>
      <c r="G276" s="31"/>
    </row>
    <row r="277" spans="1:7" hidden="1" x14ac:dyDescent="0.45">
      <c r="A277" s="27">
        <v>275</v>
      </c>
      <c r="B277" s="28" t="s">
        <v>1921</v>
      </c>
      <c r="C277" s="34" t="s">
        <v>1922</v>
      </c>
      <c r="D277" s="29" t="s">
        <v>1900</v>
      </c>
      <c r="E277" s="28" t="s">
        <v>1406</v>
      </c>
      <c r="F277" s="28" t="s">
        <v>1435</v>
      </c>
      <c r="G277" s="28"/>
    </row>
    <row r="278" spans="1:7" ht="42.75" hidden="1" customHeight="1" x14ac:dyDescent="0.45">
      <c r="A278" s="30">
        <v>276</v>
      </c>
      <c r="B278" s="31" t="s">
        <v>1923</v>
      </c>
      <c r="C278" s="35" t="s">
        <v>1924</v>
      </c>
      <c r="D278" s="32" t="s">
        <v>1900</v>
      </c>
      <c r="E278" s="31" t="s">
        <v>1406</v>
      </c>
      <c r="F278" s="31" t="s">
        <v>1571</v>
      </c>
      <c r="G278" s="31"/>
    </row>
    <row r="279" spans="1:7" ht="28.5" hidden="1" customHeight="1" x14ac:dyDescent="0.45">
      <c r="A279" s="27">
        <v>277</v>
      </c>
      <c r="B279" s="28" t="s">
        <v>1925</v>
      </c>
      <c r="C279" s="34" t="s">
        <v>1926</v>
      </c>
      <c r="D279" s="29" t="s">
        <v>1900</v>
      </c>
      <c r="E279" s="28" t="s">
        <v>1406</v>
      </c>
      <c r="F279" s="28" t="s">
        <v>1571</v>
      </c>
      <c r="G279" s="28"/>
    </row>
    <row r="280" spans="1:7" ht="28.5" hidden="1" customHeight="1" x14ac:dyDescent="0.45">
      <c r="A280" s="30">
        <v>278</v>
      </c>
      <c r="B280" s="31" t="s">
        <v>1927</v>
      </c>
      <c r="C280" s="35" t="s">
        <v>1928</v>
      </c>
      <c r="D280" s="32" t="s">
        <v>1900</v>
      </c>
      <c r="E280" s="31" t="s">
        <v>1406</v>
      </c>
      <c r="F280" s="31" t="s">
        <v>1571</v>
      </c>
      <c r="G280" s="31"/>
    </row>
    <row r="281" spans="1:7" hidden="1" x14ac:dyDescent="0.45">
      <c r="A281" s="27">
        <v>279</v>
      </c>
      <c r="B281" s="28" t="s">
        <v>1929</v>
      </c>
      <c r="C281" s="34" t="s">
        <v>1930</v>
      </c>
      <c r="D281" s="29" t="s">
        <v>1931</v>
      </c>
      <c r="E281" s="28" t="s">
        <v>1406</v>
      </c>
      <c r="F281" s="28" t="s">
        <v>1419</v>
      </c>
      <c r="G281" s="28"/>
    </row>
    <row r="282" spans="1:7" hidden="1" x14ac:dyDescent="0.45">
      <c r="A282" s="30">
        <v>280</v>
      </c>
      <c r="B282" s="31" t="s">
        <v>1932</v>
      </c>
      <c r="C282" s="35" t="s">
        <v>1933</v>
      </c>
      <c r="D282" s="32" t="s">
        <v>1931</v>
      </c>
      <c r="E282" s="31" t="s">
        <v>1406</v>
      </c>
      <c r="F282" s="31" t="s">
        <v>1419</v>
      </c>
      <c r="G282" s="31"/>
    </row>
    <row r="283" spans="1:7" hidden="1" x14ac:dyDescent="0.45">
      <c r="A283" s="27">
        <v>281</v>
      </c>
      <c r="B283" s="28" t="s">
        <v>1934</v>
      </c>
      <c r="C283" s="34" t="s">
        <v>1935</v>
      </c>
      <c r="D283" s="29" t="s">
        <v>1936</v>
      </c>
      <c r="E283" s="28" t="s">
        <v>1406</v>
      </c>
      <c r="F283" s="28" t="s">
        <v>1451</v>
      </c>
      <c r="G283" s="28"/>
    </row>
    <row r="284" spans="1:7" ht="28.5" hidden="1" customHeight="1" x14ac:dyDescent="0.45">
      <c r="A284" s="30">
        <v>282</v>
      </c>
      <c r="B284" s="31" t="s">
        <v>1937</v>
      </c>
      <c r="C284" s="35" t="s">
        <v>1938</v>
      </c>
      <c r="D284" s="32" t="s">
        <v>1936</v>
      </c>
      <c r="E284" s="31" t="s">
        <v>1406</v>
      </c>
      <c r="F284" s="31" t="s">
        <v>1451</v>
      </c>
      <c r="G284" s="31"/>
    </row>
    <row r="285" spans="1:7" hidden="1" x14ac:dyDescent="0.45">
      <c r="A285" s="27">
        <v>283</v>
      </c>
      <c r="B285" s="28" t="s">
        <v>1939</v>
      </c>
      <c r="C285" s="34" t="s">
        <v>1940</v>
      </c>
      <c r="D285" s="29" t="s">
        <v>1941</v>
      </c>
      <c r="E285" s="28" t="s">
        <v>1406</v>
      </c>
      <c r="F285" s="28" t="s">
        <v>1571</v>
      </c>
      <c r="G285" s="28"/>
    </row>
    <row r="286" spans="1:7" hidden="1" x14ac:dyDescent="0.45">
      <c r="A286" s="30">
        <v>284</v>
      </c>
      <c r="B286" s="31" t="s">
        <v>1942</v>
      </c>
      <c r="C286" s="35" t="s">
        <v>1943</v>
      </c>
      <c r="D286" s="32" t="s">
        <v>1941</v>
      </c>
      <c r="E286" s="31" t="s">
        <v>1406</v>
      </c>
      <c r="F286" s="31" t="s">
        <v>1571</v>
      </c>
      <c r="G286" s="31"/>
    </row>
    <row r="287" spans="1:7" ht="28.5" hidden="1" customHeight="1" x14ac:dyDescent="0.45">
      <c r="A287" s="27">
        <v>285</v>
      </c>
      <c r="B287" s="28" t="s">
        <v>1944</v>
      </c>
      <c r="C287" s="34" t="s">
        <v>1945</v>
      </c>
      <c r="D287" s="29" t="s">
        <v>1941</v>
      </c>
      <c r="E287" s="28" t="s">
        <v>1406</v>
      </c>
      <c r="F287" s="28" t="s">
        <v>1571</v>
      </c>
      <c r="G287" s="28"/>
    </row>
    <row r="288" spans="1:7" hidden="1" x14ac:dyDescent="0.45">
      <c r="A288" s="30">
        <v>286</v>
      </c>
      <c r="B288" s="31" t="s">
        <v>1946</v>
      </c>
      <c r="C288" s="35" t="s">
        <v>1947</v>
      </c>
      <c r="D288" s="32" t="s">
        <v>1941</v>
      </c>
      <c r="E288" s="31" t="s">
        <v>1406</v>
      </c>
      <c r="F288" s="31" t="s">
        <v>1571</v>
      </c>
      <c r="G288" s="31"/>
    </row>
    <row r="289" spans="1:7" ht="28.5" hidden="1" customHeight="1" x14ac:dyDescent="0.45">
      <c r="A289" s="27">
        <v>287</v>
      </c>
      <c r="B289" s="28" t="s">
        <v>1948</v>
      </c>
      <c r="C289" s="34" t="s">
        <v>1949</v>
      </c>
      <c r="D289" s="29" t="s">
        <v>1950</v>
      </c>
      <c r="E289" s="28" t="s">
        <v>1406</v>
      </c>
      <c r="F289" s="28" t="s">
        <v>1419</v>
      </c>
      <c r="G289" s="28"/>
    </row>
    <row r="290" spans="1:7" hidden="1" x14ac:dyDescent="0.45">
      <c r="A290" s="30">
        <v>288</v>
      </c>
      <c r="B290" s="31" t="s">
        <v>1951</v>
      </c>
      <c r="C290" s="35" t="s">
        <v>1952</v>
      </c>
      <c r="D290" s="32" t="s">
        <v>1950</v>
      </c>
      <c r="E290" s="31" t="s">
        <v>1406</v>
      </c>
      <c r="F290" s="31" t="s">
        <v>1419</v>
      </c>
      <c r="G290" s="31"/>
    </row>
    <row r="291" spans="1:7" hidden="1" x14ac:dyDescent="0.45">
      <c r="A291" s="27">
        <v>289</v>
      </c>
      <c r="B291" s="28" t="s">
        <v>1528</v>
      </c>
      <c r="C291" s="34" t="s">
        <v>1529</v>
      </c>
      <c r="D291" s="29" t="s">
        <v>1953</v>
      </c>
      <c r="E291" s="28" t="s">
        <v>1406</v>
      </c>
      <c r="F291" s="28" t="s">
        <v>1414</v>
      </c>
      <c r="G291" s="28"/>
    </row>
    <row r="292" spans="1:7" ht="28.5" hidden="1" customHeight="1" x14ac:dyDescent="0.45">
      <c r="A292" s="30">
        <v>290</v>
      </c>
      <c r="B292" s="31" t="s">
        <v>1954</v>
      </c>
      <c r="C292" s="35" t="s">
        <v>1955</v>
      </c>
      <c r="D292" s="32" t="s">
        <v>1953</v>
      </c>
      <c r="E292" s="31" t="s">
        <v>1406</v>
      </c>
      <c r="F292" s="31" t="s">
        <v>1477</v>
      </c>
      <c r="G292" s="31"/>
    </row>
    <row r="293" spans="1:7" ht="28.5" hidden="1" customHeight="1" x14ac:dyDescent="0.45">
      <c r="A293" s="27">
        <v>291</v>
      </c>
      <c r="B293" s="28" t="s">
        <v>1956</v>
      </c>
      <c r="C293" s="34" t="s">
        <v>1957</v>
      </c>
      <c r="D293" s="29" t="s">
        <v>1958</v>
      </c>
      <c r="E293" s="28" t="s">
        <v>1406</v>
      </c>
      <c r="F293" s="28" t="s">
        <v>1430</v>
      </c>
      <c r="G293" s="28"/>
    </row>
    <row r="294" spans="1:7" hidden="1" x14ac:dyDescent="0.45">
      <c r="A294" s="30">
        <v>292</v>
      </c>
      <c r="B294" s="31" t="s">
        <v>1959</v>
      </c>
      <c r="C294" s="35" t="s">
        <v>1960</v>
      </c>
      <c r="D294" s="32" t="s">
        <v>1958</v>
      </c>
      <c r="E294" s="31" t="s">
        <v>1406</v>
      </c>
      <c r="F294" s="31" t="s">
        <v>1435</v>
      </c>
      <c r="G294" s="31"/>
    </row>
    <row r="295" spans="1:7" ht="28.5" hidden="1" customHeight="1" x14ac:dyDescent="0.45">
      <c r="A295" s="27">
        <v>293</v>
      </c>
      <c r="B295" s="28" t="s">
        <v>1961</v>
      </c>
      <c r="C295" s="34" t="s">
        <v>1962</v>
      </c>
      <c r="D295" s="29" t="s">
        <v>1958</v>
      </c>
      <c r="E295" s="28" t="s">
        <v>1406</v>
      </c>
      <c r="F295" s="28" t="s">
        <v>1430</v>
      </c>
      <c r="G295" s="28"/>
    </row>
    <row r="296" spans="1:7" ht="28.5" hidden="1" customHeight="1" x14ac:dyDescent="0.45">
      <c r="A296" s="30">
        <v>294</v>
      </c>
      <c r="B296" s="31" t="s">
        <v>1963</v>
      </c>
      <c r="C296" s="35" t="s">
        <v>1964</v>
      </c>
      <c r="D296" s="32" t="s">
        <v>1958</v>
      </c>
      <c r="E296" s="31" t="s">
        <v>1406</v>
      </c>
      <c r="F296" s="31" t="s">
        <v>1430</v>
      </c>
      <c r="G296" s="31"/>
    </row>
    <row r="297" spans="1:7" ht="28.5" hidden="1" customHeight="1" x14ac:dyDescent="0.45">
      <c r="A297" s="27">
        <v>295</v>
      </c>
      <c r="B297" s="28" t="s">
        <v>1965</v>
      </c>
      <c r="C297" s="34" t="s">
        <v>1966</v>
      </c>
      <c r="D297" s="29" t="s">
        <v>1958</v>
      </c>
      <c r="E297" s="28" t="s">
        <v>1406</v>
      </c>
      <c r="F297" s="28" t="s">
        <v>1430</v>
      </c>
      <c r="G297" s="28"/>
    </row>
    <row r="298" spans="1:7" ht="28.5" hidden="1" customHeight="1" x14ac:dyDescent="0.45">
      <c r="A298" s="30">
        <v>296</v>
      </c>
      <c r="B298" s="31" t="s">
        <v>1967</v>
      </c>
      <c r="C298" s="35" t="s">
        <v>1968</v>
      </c>
      <c r="D298" s="32" t="s">
        <v>1958</v>
      </c>
      <c r="E298" s="31" t="s">
        <v>1406</v>
      </c>
      <c r="F298" s="31" t="s">
        <v>1571</v>
      </c>
      <c r="G298" s="31"/>
    </row>
    <row r="299" spans="1:7" ht="28.5" hidden="1" customHeight="1" x14ac:dyDescent="0.45">
      <c r="A299" s="27">
        <v>297</v>
      </c>
      <c r="B299" s="28" t="s">
        <v>1969</v>
      </c>
      <c r="C299" s="34" t="s">
        <v>1970</v>
      </c>
      <c r="D299" s="29" t="s">
        <v>1958</v>
      </c>
      <c r="E299" s="28" t="s">
        <v>1406</v>
      </c>
      <c r="F299" s="28" t="s">
        <v>1430</v>
      </c>
      <c r="G299" s="28"/>
    </row>
    <row r="300" spans="1:7" ht="28.5" hidden="1" customHeight="1" x14ac:dyDescent="0.45">
      <c r="A300" s="30">
        <v>298</v>
      </c>
      <c r="B300" s="31" t="s">
        <v>1971</v>
      </c>
      <c r="C300" s="35" t="s">
        <v>1972</v>
      </c>
      <c r="D300" s="32" t="s">
        <v>1958</v>
      </c>
      <c r="E300" s="31" t="s">
        <v>1406</v>
      </c>
      <c r="F300" s="31" t="s">
        <v>1430</v>
      </c>
      <c r="G300" s="31"/>
    </row>
    <row r="301" spans="1:7" ht="28.5" hidden="1" customHeight="1" x14ac:dyDescent="0.45">
      <c r="A301" s="27">
        <v>299</v>
      </c>
      <c r="B301" s="28" t="s">
        <v>1973</v>
      </c>
      <c r="C301" s="34" t="s">
        <v>1974</v>
      </c>
      <c r="D301" s="29" t="s">
        <v>1958</v>
      </c>
      <c r="E301" s="28" t="s">
        <v>1406</v>
      </c>
      <c r="F301" s="28" t="s">
        <v>1430</v>
      </c>
      <c r="G301" s="28"/>
    </row>
    <row r="302" spans="1:7" ht="28.5" hidden="1" customHeight="1" x14ac:dyDescent="0.45">
      <c r="A302" s="30">
        <v>300</v>
      </c>
      <c r="B302" s="31" t="s">
        <v>1975</v>
      </c>
      <c r="C302" s="35" t="s">
        <v>1976</v>
      </c>
      <c r="D302" s="32" t="s">
        <v>1958</v>
      </c>
      <c r="E302" s="31" t="s">
        <v>1406</v>
      </c>
      <c r="F302" s="31" t="s">
        <v>1571</v>
      </c>
      <c r="G302" s="31"/>
    </row>
    <row r="303" spans="1:7" ht="28.5" hidden="1" customHeight="1" x14ac:dyDescent="0.45">
      <c r="A303" s="27">
        <v>301</v>
      </c>
      <c r="B303" s="28" t="s">
        <v>1977</v>
      </c>
      <c r="C303" s="34" t="s">
        <v>1978</v>
      </c>
      <c r="D303" s="29" t="s">
        <v>1958</v>
      </c>
      <c r="E303" s="28" t="s">
        <v>1406</v>
      </c>
      <c r="F303" s="28" t="s">
        <v>1571</v>
      </c>
      <c r="G303" s="28"/>
    </row>
    <row r="304" spans="1:7" ht="28.5" hidden="1" customHeight="1" x14ac:dyDescent="0.45">
      <c r="A304" s="30">
        <v>302</v>
      </c>
      <c r="B304" s="31" t="s">
        <v>1979</v>
      </c>
      <c r="C304" s="35" t="s">
        <v>1980</v>
      </c>
      <c r="D304" s="32" t="s">
        <v>1958</v>
      </c>
      <c r="E304" s="31" t="s">
        <v>1406</v>
      </c>
      <c r="F304" s="31" t="s">
        <v>1435</v>
      </c>
      <c r="G304" s="31"/>
    </row>
    <row r="305" spans="1:7" ht="28.5" hidden="1" customHeight="1" x14ac:dyDescent="0.45">
      <c r="A305" s="27">
        <v>303</v>
      </c>
      <c r="B305" s="28" t="s">
        <v>1981</v>
      </c>
      <c r="C305" s="34" t="s">
        <v>1982</v>
      </c>
      <c r="D305" s="29" t="s">
        <v>1958</v>
      </c>
      <c r="E305" s="28" t="s">
        <v>1406</v>
      </c>
      <c r="F305" s="28" t="s">
        <v>1435</v>
      </c>
      <c r="G305" s="28"/>
    </row>
    <row r="306" spans="1:7" ht="28.5" hidden="1" customHeight="1" x14ac:dyDescent="0.45">
      <c r="A306" s="30">
        <v>304</v>
      </c>
      <c r="B306" s="31" t="s">
        <v>1983</v>
      </c>
      <c r="C306" s="35" t="s">
        <v>1984</v>
      </c>
      <c r="D306" s="32" t="s">
        <v>1958</v>
      </c>
      <c r="E306" s="31" t="s">
        <v>1406</v>
      </c>
      <c r="F306" s="31" t="s">
        <v>1571</v>
      </c>
      <c r="G306" s="31"/>
    </row>
    <row r="307" spans="1:7" ht="28.5" hidden="1" customHeight="1" x14ac:dyDescent="0.45">
      <c r="A307" s="27">
        <v>305</v>
      </c>
      <c r="B307" s="28" t="s">
        <v>1985</v>
      </c>
      <c r="C307" s="34" t="s">
        <v>1986</v>
      </c>
      <c r="D307" s="29" t="s">
        <v>1958</v>
      </c>
      <c r="E307" s="28" t="s">
        <v>1406</v>
      </c>
      <c r="F307" s="28" t="s">
        <v>1571</v>
      </c>
      <c r="G307" s="28"/>
    </row>
    <row r="308" spans="1:7" ht="28.5" hidden="1" customHeight="1" x14ac:dyDescent="0.45">
      <c r="A308" s="30">
        <v>306</v>
      </c>
      <c r="B308" s="31" t="s">
        <v>1987</v>
      </c>
      <c r="C308" s="35" t="s">
        <v>1988</v>
      </c>
      <c r="D308" s="32" t="s">
        <v>1958</v>
      </c>
      <c r="E308" s="31" t="s">
        <v>1406</v>
      </c>
      <c r="F308" s="31" t="s">
        <v>1435</v>
      </c>
      <c r="G308" s="31"/>
    </row>
    <row r="309" spans="1:7" ht="28.5" hidden="1" customHeight="1" x14ac:dyDescent="0.45">
      <c r="A309" s="27">
        <v>307</v>
      </c>
      <c r="B309" s="28" t="s">
        <v>1989</v>
      </c>
      <c r="C309" s="34" t="s">
        <v>1990</v>
      </c>
      <c r="D309" s="29" t="s">
        <v>1958</v>
      </c>
      <c r="E309" s="28" t="s">
        <v>1406</v>
      </c>
      <c r="F309" s="28" t="s">
        <v>1571</v>
      </c>
      <c r="G309" s="28"/>
    </row>
    <row r="310" spans="1:7" ht="28.5" hidden="1" customHeight="1" x14ac:dyDescent="0.45">
      <c r="A310" s="30">
        <v>308</v>
      </c>
      <c r="B310" s="31" t="s">
        <v>1991</v>
      </c>
      <c r="C310" s="35" t="s">
        <v>1992</v>
      </c>
      <c r="D310" s="32" t="s">
        <v>1958</v>
      </c>
      <c r="E310" s="31" t="s">
        <v>1406</v>
      </c>
      <c r="F310" s="31" t="s">
        <v>1571</v>
      </c>
      <c r="G310" s="31"/>
    </row>
    <row r="311" spans="1:7" ht="28.5" hidden="1" customHeight="1" x14ac:dyDescent="0.45">
      <c r="A311" s="27">
        <v>309</v>
      </c>
      <c r="B311" s="28" t="s">
        <v>1993</v>
      </c>
      <c r="C311" s="34" t="s">
        <v>1994</v>
      </c>
      <c r="D311" s="29" t="s">
        <v>1958</v>
      </c>
      <c r="E311" s="28" t="s">
        <v>1406</v>
      </c>
      <c r="F311" s="28" t="s">
        <v>1435</v>
      </c>
      <c r="G311" s="28"/>
    </row>
    <row r="312" spans="1:7" ht="28.5" hidden="1" customHeight="1" x14ac:dyDescent="0.45">
      <c r="A312" s="30">
        <v>310</v>
      </c>
      <c r="B312" s="31" t="s">
        <v>1995</v>
      </c>
      <c r="C312" s="35" t="s">
        <v>1996</v>
      </c>
      <c r="D312" s="32" t="s">
        <v>1958</v>
      </c>
      <c r="E312" s="31" t="s">
        <v>1406</v>
      </c>
      <c r="F312" s="31" t="s">
        <v>1571</v>
      </c>
      <c r="G312" s="31"/>
    </row>
    <row r="313" spans="1:7" ht="28.5" hidden="1" customHeight="1" x14ac:dyDescent="0.45">
      <c r="A313" s="27">
        <v>311</v>
      </c>
      <c r="B313" s="28" t="s">
        <v>1997</v>
      </c>
      <c r="C313" s="34" t="s">
        <v>1998</v>
      </c>
      <c r="D313" s="29" t="s">
        <v>1958</v>
      </c>
      <c r="E313" s="28" t="s">
        <v>1406</v>
      </c>
      <c r="F313" s="28" t="s">
        <v>1571</v>
      </c>
      <c r="G313" s="28"/>
    </row>
    <row r="314" spans="1:7" ht="28.5" hidden="1" customHeight="1" x14ac:dyDescent="0.45">
      <c r="A314" s="30">
        <v>312</v>
      </c>
      <c r="B314" s="31" t="s">
        <v>1999</v>
      </c>
      <c r="C314" s="35" t="s">
        <v>2000</v>
      </c>
      <c r="D314" s="32" t="s">
        <v>1958</v>
      </c>
      <c r="E314" s="31" t="s">
        <v>1406</v>
      </c>
      <c r="F314" s="31" t="s">
        <v>1571</v>
      </c>
      <c r="G314" s="31"/>
    </row>
    <row r="315" spans="1:7" ht="28.5" hidden="1" customHeight="1" x14ac:dyDescent="0.45">
      <c r="A315" s="27">
        <v>313</v>
      </c>
      <c r="B315" s="28" t="s">
        <v>2001</v>
      </c>
      <c r="C315" s="34" t="s">
        <v>2002</v>
      </c>
      <c r="D315" s="29" t="s">
        <v>1958</v>
      </c>
      <c r="E315" s="28" t="s">
        <v>1406</v>
      </c>
      <c r="F315" s="28" t="s">
        <v>1571</v>
      </c>
      <c r="G315" s="28"/>
    </row>
    <row r="316" spans="1:7" ht="28.5" hidden="1" customHeight="1" x14ac:dyDescent="0.45">
      <c r="A316" s="30">
        <v>314</v>
      </c>
      <c r="B316" s="31" t="s">
        <v>2003</v>
      </c>
      <c r="C316" s="35" t="s">
        <v>2004</v>
      </c>
      <c r="D316" s="32" t="s">
        <v>1958</v>
      </c>
      <c r="E316" s="31" t="s">
        <v>1406</v>
      </c>
      <c r="F316" s="31" t="s">
        <v>1571</v>
      </c>
      <c r="G316" s="31"/>
    </row>
    <row r="317" spans="1:7" ht="28.5" hidden="1" customHeight="1" x14ac:dyDescent="0.45">
      <c r="A317" s="27">
        <v>315</v>
      </c>
      <c r="B317" s="28" t="s">
        <v>2005</v>
      </c>
      <c r="C317" s="34" t="s">
        <v>2006</v>
      </c>
      <c r="D317" s="29" t="s">
        <v>1958</v>
      </c>
      <c r="E317" s="28" t="s">
        <v>1406</v>
      </c>
      <c r="F317" s="28" t="s">
        <v>1426</v>
      </c>
      <c r="G317" s="28"/>
    </row>
    <row r="318" spans="1:7" ht="28.5" hidden="1" customHeight="1" x14ac:dyDescent="0.45">
      <c r="A318" s="30">
        <v>316</v>
      </c>
      <c r="B318" s="31" t="s">
        <v>2007</v>
      </c>
      <c r="C318" s="35" t="s">
        <v>2008</v>
      </c>
      <c r="D318" s="32" t="s">
        <v>1958</v>
      </c>
      <c r="E318" s="31" t="s">
        <v>1406</v>
      </c>
      <c r="F318" s="31" t="s">
        <v>1419</v>
      </c>
      <c r="G318" s="31"/>
    </row>
    <row r="319" spans="1:7" ht="28.5" hidden="1" customHeight="1" x14ac:dyDescent="0.45">
      <c r="A319" s="27">
        <v>317</v>
      </c>
      <c r="B319" s="28" t="s">
        <v>2009</v>
      </c>
      <c r="C319" s="34" t="s">
        <v>2010</v>
      </c>
      <c r="D319" s="29" t="s">
        <v>1958</v>
      </c>
      <c r="E319" s="28" t="s">
        <v>1406</v>
      </c>
      <c r="F319" s="28" t="s">
        <v>1571</v>
      </c>
      <c r="G319" s="28"/>
    </row>
    <row r="320" spans="1:7" ht="28.5" hidden="1" customHeight="1" x14ac:dyDescent="0.45">
      <c r="A320" s="30">
        <v>318</v>
      </c>
      <c r="B320" s="31" t="s">
        <v>2011</v>
      </c>
      <c r="C320" s="35" t="s">
        <v>2012</v>
      </c>
      <c r="D320" s="32" t="s">
        <v>1958</v>
      </c>
      <c r="E320" s="31" t="s">
        <v>1406</v>
      </c>
      <c r="F320" s="31" t="s">
        <v>1571</v>
      </c>
      <c r="G320" s="31"/>
    </row>
    <row r="321" spans="1:7" ht="28.5" hidden="1" customHeight="1" x14ac:dyDescent="0.45">
      <c r="A321" s="27">
        <v>319</v>
      </c>
      <c r="B321" s="28" t="s">
        <v>2013</v>
      </c>
      <c r="C321" s="34" t="s">
        <v>2014</v>
      </c>
      <c r="D321" s="29" t="s">
        <v>1958</v>
      </c>
      <c r="E321" s="28" t="s">
        <v>1406</v>
      </c>
      <c r="F321" s="28" t="s">
        <v>1419</v>
      </c>
      <c r="G321" s="28"/>
    </row>
    <row r="322" spans="1:7" ht="28.5" hidden="1" customHeight="1" x14ac:dyDescent="0.45">
      <c r="A322" s="30">
        <v>320</v>
      </c>
      <c r="B322" s="31" t="s">
        <v>2015</v>
      </c>
      <c r="C322" s="35" t="s">
        <v>2016</v>
      </c>
      <c r="D322" s="32" t="s">
        <v>1958</v>
      </c>
      <c r="E322" s="31" t="s">
        <v>1406</v>
      </c>
      <c r="F322" s="31" t="s">
        <v>1426</v>
      </c>
      <c r="G322" s="31"/>
    </row>
    <row r="323" spans="1:7" ht="28.5" hidden="1" customHeight="1" x14ac:dyDescent="0.45">
      <c r="A323" s="27">
        <v>321</v>
      </c>
      <c r="B323" s="28" t="s">
        <v>2017</v>
      </c>
      <c r="C323" s="34" t="s">
        <v>2018</v>
      </c>
      <c r="D323" s="29" t="s">
        <v>1958</v>
      </c>
      <c r="E323" s="28" t="s">
        <v>1406</v>
      </c>
      <c r="F323" s="28" t="s">
        <v>1430</v>
      </c>
      <c r="G323" s="28"/>
    </row>
    <row r="324" spans="1:7" ht="28.5" hidden="1" customHeight="1" x14ac:dyDescent="0.45">
      <c r="A324" s="30">
        <v>322</v>
      </c>
      <c r="B324" s="31" t="s">
        <v>2019</v>
      </c>
      <c r="C324" s="35" t="s">
        <v>2020</v>
      </c>
      <c r="D324" s="32" t="s">
        <v>1958</v>
      </c>
      <c r="E324" s="31" t="s">
        <v>1406</v>
      </c>
      <c r="F324" s="31" t="s">
        <v>1430</v>
      </c>
      <c r="G324" s="31"/>
    </row>
    <row r="325" spans="1:7" ht="28.5" hidden="1" customHeight="1" x14ac:dyDescent="0.45">
      <c r="A325" s="27">
        <v>323</v>
      </c>
      <c r="B325" s="28" t="s">
        <v>2021</v>
      </c>
      <c r="C325" s="34" t="s">
        <v>2022</v>
      </c>
      <c r="D325" s="29" t="s">
        <v>1958</v>
      </c>
      <c r="E325" s="28" t="s">
        <v>1406</v>
      </c>
      <c r="F325" s="28" t="s">
        <v>1419</v>
      </c>
      <c r="G325" s="28"/>
    </row>
    <row r="326" spans="1:7" ht="28.5" hidden="1" customHeight="1" x14ac:dyDescent="0.45">
      <c r="A326" s="30">
        <v>324</v>
      </c>
      <c r="B326" s="31" t="s">
        <v>2023</v>
      </c>
      <c r="C326" s="35" t="s">
        <v>2024</v>
      </c>
      <c r="D326" s="32" t="s">
        <v>1958</v>
      </c>
      <c r="E326" s="31" t="s">
        <v>1406</v>
      </c>
      <c r="F326" s="31" t="s">
        <v>1419</v>
      </c>
      <c r="G326" s="31"/>
    </row>
    <row r="327" spans="1:7" ht="28.5" hidden="1" customHeight="1" x14ac:dyDescent="0.45">
      <c r="A327" s="27">
        <v>325</v>
      </c>
      <c r="B327" s="28" t="s">
        <v>2025</v>
      </c>
      <c r="C327" s="34" t="s">
        <v>2026</v>
      </c>
      <c r="D327" s="29" t="s">
        <v>1958</v>
      </c>
      <c r="E327" s="28" t="s">
        <v>1406</v>
      </c>
      <c r="F327" s="28" t="s">
        <v>1571</v>
      </c>
      <c r="G327" s="28"/>
    </row>
    <row r="328" spans="1:7" ht="28.5" hidden="1" customHeight="1" x14ac:dyDescent="0.45">
      <c r="A328" s="30">
        <v>326</v>
      </c>
      <c r="B328" s="31" t="s">
        <v>2027</v>
      </c>
      <c r="C328" s="35" t="s">
        <v>2028</v>
      </c>
      <c r="D328" s="32" t="s">
        <v>1958</v>
      </c>
      <c r="E328" s="31" t="s">
        <v>1406</v>
      </c>
      <c r="F328" s="31" t="s">
        <v>1571</v>
      </c>
      <c r="G328" s="31"/>
    </row>
    <row r="329" spans="1:7" ht="28.5" hidden="1" customHeight="1" x14ac:dyDescent="0.45">
      <c r="A329" s="27">
        <v>327</v>
      </c>
      <c r="B329" s="28" t="s">
        <v>2029</v>
      </c>
      <c r="C329" s="34" t="s">
        <v>2030</v>
      </c>
      <c r="D329" s="29" t="s">
        <v>1958</v>
      </c>
      <c r="E329" s="28" t="s">
        <v>1406</v>
      </c>
      <c r="F329" s="28" t="s">
        <v>1571</v>
      </c>
      <c r="G329" s="28"/>
    </row>
    <row r="330" spans="1:7" ht="28.5" hidden="1" customHeight="1" x14ac:dyDescent="0.45">
      <c r="A330" s="30">
        <v>328</v>
      </c>
      <c r="B330" s="31" t="s">
        <v>2031</v>
      </c>
      <c r="C330" s="35" t="s">
        <v>2032</v>
      </c>
      <c r="D330" s="32" t="s">
        <v>2033</v>
      </c>
      <c r="E330" s="31" t="s">
        <v>1406</v>
      </c>
      <c r="F330" s="31" t="s">
        <v>1419</v>
      </c>
      <c r="G330" s="31"/>
    </row>
    <row r="331" spans="1:7" ht="28.5" hidden="1" customHeight="1" x14ac:dyDescent="0.45">
      <c r="A331" s="27">
        <v>329</v>
      </c>
      <c r="B331" s="28" t="s">
        <v>2034</v>
      </c>
      <c r="C331" s="34" t="s">
        <v>2035</v>
      </c>
      <c r="D331" s="29" t="s">
        <v>2033</v>
      </c>
      <c r="E331" s="28" t="s">
        <v>1406</v>
      </c>
      <c r="F331" s="28" t="s">
        <v>1571</v>
      </c>
      <c r="G331" s="28"/>
    </row>
    <row r="332" spans="1:7" ht="28.5" hidden="1" customHeight="1" x14ac:dyDescent="0.45">
      <c r="A332" s="30">
        <v>330</v>
      </c>
      <c r="B332" s="31" t="s">
        <v>2036</v>
      </c>
      <c r="C332" s="35" t="s">
        <v>2037</v>
      </c>
      <c r="D332" s="32" t="s">
        <v>2033</v>
      </c>
      <c r="E332" s="31" t="s">
        <v>1406</v>
      </c>
      <c r="F332" s="31" t="s">
        <v>1571</v>
      </c>
      <c r="G332" s="31"/>
    </row>
    <row r="333" spans="1:7" ht="28.5" hidden="1" customHeight="1" x14ac:dyDescent="0.45">
      <c r="A333" s="27">
        <v>331</v>
      </c>
      <c r="B333" s="28" t="s">
        <v>2038</v>
      </c>
      <c r="C333" s="34" t="s">
        <v>2039</v>
      </c>
      <c r="D333" s="29" t="s">
        <v>2033</v>
      </c>
      <c r="E333" s="28" t="s">
        <v>1406</v>
      </c>
      <c r="F333" s="28" t="s">
        <v>1571</v>
      </c>
      <c r="G333" s="28"/>
    </row>
    <row r="334" spans="1:7" ht="28.5" hidden="1" customHeight="1" x14ac:dyDescent="0.45">
      <c r="A334" s="30">
        <v>332</v>
      </c>
      <c r="B334" s="31" t="s">
        <v>2040</v>
      </c>
      <c r="C334" s="35" t="s">
        <v>2041</v>
      </c>
      <c r="D334" s="32" t="s">
        <v>2033</v>
      </c>
      <c r="E334" s="31" t="s">
        <v>1406</v>
      </c>
      <c r="F334" s="31" t="s">
        <v>1571</v>
      </c>
      <c r="G334" s="31"/>
    </row>
    <row r="335" spans="1:7" ht="28.5" hidden="1" customHeight="1" x14ac:dyDescent="0.45">
      <c r="A335" s="27">
        <v>333</v>
      </c>
      <c r="B335" s="28" t="s">
        <v>2042</v>
      </c>
      <c r="C335" s="34" t="s">
        <v>2043</v>
      </c>
      <c r="D335" s="29" t="s">
        <v>2033</v>
      </c>
      <c r="E335" s="28" t="s">
        <v>1406</v>
      </c>
      <c r="F335" s="28" t="s">
        <v>1571</v>
      </c>
      <c r="G335" s="28"/>
    </row>
    <row r="336" spans="1:7" ht="28.5" hidden="1" customHeight="1" x14ac:dyDescent="0.45">
      <c r="A336" s="30">
        <v>334</v>
      </c>
      <c r="B336" s="31" t="s">
        <v>2044</v>
      </c>
      <c r="C336" s="35" t="s">
        <v>2045</v>
      </c>
      <c r="D336" s="32" t="s">
        <v>2033</v>
      </c>
      <c r="E336" s="31" t="s">
        <v>1406</v>
      </c>
      <c r="F336" s="31" t="s">
        <v>1571</v>
      </c>
      <c r="G336" s="31"/>
    </row>
    <row r="337" spans="1:7" ht="28.5" hidden="1" customHeight="1" x14ac:dyDescent="0.45">
      <c r="A337" s="27">
        <v>335</v>
      </c>
      <c r="B337" s="28" t="s">
        <v>2046</v>
      </c>
      <c r="C337" s="34" t="s">
        <v>2047</v>
      </c>
      <c r="D337" s="29" t="s">
        <v>2033</v>
      </c>
      <c r="E337" s="28" t="s">
        <v>1406</v>
      </c>
      <c r="F337" s="28" t="s">
        <v>1571</v>
      </c>
      <c r="G337" s="28"/>
    </row>
    <row r="338" spans="1:7" ht="28.5" hidden="1" customHeight="1" x14ac:dyDescent="0.45">
      <c r="A338" s="30">
        <v>336</v>
      </c>
      <c r="B338" s="31" t="s">
        <v>2048</v>
      </c>
      <c r="C338" s="35" t="s">
        <v>2049</v>
      </c>
      <c r="D338" s="32" t="s">
        <v>2033</v>
      </c>
      <c r="E338" s="31" t="s">
        <v>1406</v>
      </c>
      <c r="F338" s="31" t="s">
        <v>1571</v>
      </c>
      <c r="G338" s="31"/>
    </row>
    <row r="339" spans="1:7" ht="28.5" hidden="1" customHeight="1" x14ac:dyDescent="0.45">
      <c r="A339" s="27">
        <v>337</v>
      </c>
      <c r="B339" s="28" t="s">
        <v>2050</v>
      </c>
      <c r="C339" s="34" t="s">
        <v>2051</v>
      </c>
      <c r="D339" s="29" t="s">
        <v>2033</v>
      </c>
      <c r="E339" s="28" t="s">
        <v>1406</v>
      </c>
      <c r="F339" s="28" t="s">
        <v>1419</v>
      </c>
      <c r="G339" s="28"/>
    </row>
    <row r="340" spans="1:7" ht="28.5" hidden="1" customHeight="1" x14ac:dyDescent="0.45">
      <c r="A340" s="30">
        <v>338</v>
      </c>
      <c r="B340" s="31" t="s">
        <v>2052</v>
      </c>
      <c r="C340" s="35" t="s">
        <v>2053</v>
      </c>
      <c r="D340" s="32" t="s">
        <v>2033</v>
      </c>
      <c r="E340" s="31" t="s">
        <v>1406</v>
      </c>
      <c r="F340" s="31" t="s">
        <v>1571</v>
      </c>
      <c r="G340" s="31"/>
    </row>
    <row r="341" spans="1:7" ht="28.5" hidden="1" customHeight="1" x14ac:dyDescent="0.45">
      <c r="A341" s="27">
        <v>339</v>
      </c>
      <c r="B341" s="28" t="s">
        <v>2054</v>
      </c>
      <c r="C341" s="34" t="s">
        <v>2055</v>
      </c>
      <c r="D341" s="29" t="s">
        <v>2056</v>
      </c>
      <c r="E341" s="28" t="s">
        <v>1406</v>
      </c>
      <c r="F341" s="28" t="s">
        <v>1451</v>
      </c>
      <c r="G341" s="28"/>
    </row>
    <row r="342" spans="1:7" ht="28.5" hidden="1" customHeight="1" x14ac:dyDescent="0.45">
      <c r="A342" s="30">
        <v>340</v>
      </c>
      <c r="B342" s="31" t="s">
        <v>2057</v>
      </c>
      <c r="C342" s="35" t="s">
        <v>2058</v>
      </c>
      <c r="D342" s="32" t="s">
        <v>2056</v>
      </c>
      <c r="E342" s="31" t="s">
        <v>1406</v>
      </c>
      <c r="F342" s="31" t="s">
        <v>1451</v>
      </c>
      <c r="G342" s="31"/>
    </row>
    <row r="343" spans="1:7" ht="28.5" hidden="1" customHeight="1" x14ac:dyDescent="0.45">
      <c r="A343" s="27">
        <v>341</v>
      </c>
      <c r="B343" s="28" t="s">
        <v>2059</v>
      </c>
      <c r="C343" s="34" t="s">
        <v>2060</v>
      </c>
      <c r="D343" s="29" t="s">
        <v>2056</v>
      </c>
      <c r="E343" s="28" t="s">
        <v>1406</v>
      </c>
      <c r="F343" s="28" t="s">
        <v>1451</v>
      </c>
      <c r="G343" s="28"/>
    </row>
    <row r="344" spans="1:7" ht="28.5" hidden="1" customHeight="1" x14ac:dyDescent="0.45">
      <c r="A344" s="30">
        <v>342</v>
      </c>
      <c r="B344" s="31" t="s">
        <v>2061</v>
      </c>
      <c r="C344" s="35" t="s">
        <v>2062</v>
      </c>
      <c r="D344" s="32" t="s">
        <v>2063</v>
      </c>
      <c r="E344" s="31" t="s">
        <v>1406</v>
      </c>
      <c r="F344" s="31" t="s">
        <v>1477</v>
      </c>
      <c r="G344" s="31"/>
    </row>
    <row r="345" spans="1:7" ht="28.5" hidden="1" customHeight="1" x14ac:dyDescent="0.45">
      <c r="A345" s="27">
        <v>343</v>
      </c>
      <c r="B345" s="28" t="s">
        <v>2064</v>
      </c>
      <c r="C345" s="34" t="s">
        <v>2065</v>
      </c>
      <c r="D345" s="29" t="s">
        <v>2063</v>
      </c>
      <c r="E345" s="28" t="s">
        <v>1406</v>
      </c>
      <c r="F345" s="28" t="s">
        <v>1477</v>
      </c>
      <c r="G345" s="28"/>
    </row>
    <row r="346" spans="1:7" ht="28.5" hidden="1" customHeight="1" x14ac:dyDescent="0.45">
      <c r="A346" s="30">
        <v>344</v>
      </c>
      <c r="B346" s="31" t="s">
        <v>2066</v>
      </c>
      <c r="C346" s="35" t="s">
        <v>2067</v>
      </c>
      <c r="D346" s="32" t="s">
        <v>2063</v>
      </c>
      <c r="E346" s="31" t="s">
        <v>1406</v>
      </c>
      <c r="F346" s="31" t="s">
        <v>1477</v>
      </c>
      <c r="G346" s="31"/>
    </row>
    <row r="347" spans="1:7" ht="28.5" hidden="1" customHeight="1" x14ac:dyDescent="0.45">
      <c r="A347" s="27">
        <v>345</v>
      </c>
      <c r="B347" s="28" t="s">
        <v>2068</v>
      </c>
      <c r="C347" s="34" t="s">
        <v>2069</v>
      </c>
      <c r="D347" s="29" t="s">
        <v>2063</v>
      </c>
      <c r="E347" s="28" t="s">
        <v>1406</v>
      </c>
      <c r="F347" s="28" t="s">
        <v>1477</v>
      </c>
      <c r="G347" s="28"/>
    </row>
    <row r="348" spans="1:7" ht="28.5" hidden="1" customHeight="1" x14ac:dyDescent="0.45">
      <c r="A348" s="30">
        <v>346</v>
      </c>
      <c r="B348" s="31" t="s">
        <v>2070</v>
      </c>
      <c r="C348" s="35" t="s">
        <v>2071</v>
      </c>
      <c r="D348" s="32" t="s">
        <v>2063</v>
      </c>
      <c r="E348" s="31" t="s">
        <v>1406</v>
      </c>
      <c r="F348" s="31" t="s">
        <v>1477</v>
      </c>
      <c r="G348" s="31"/>
    </row>
    <row r="349" spans="1:7" ht="28.5" hidden="1" customHeight="1" x14ac:dyDescent="0.45">
      <c r="A349" s="27">
        <v>347</v>
      </c>
      <c r="B349" s="28" t="s">
        <v>2072</v>
      </c>
      <c r="C349" s="34" t="s">
        <v>2073</v>
      </c>
      <c r="D349" s="29" t="s">
        <v>2063</v>
      </c>
      <c r="E349" s="28" t="s">
        <v>1406</v>
      </c>
      <c r="F349" s="28" t="s">
        <v>1571</v>
      </c>
      <c r="G349" s="28"/>
    </row>
    <row r="350" spans="1:7" ht="28.5" hidden="1" customHeight="1" x14ac:dyDescent="0.45">
      <c r="A350" s="30">
        <v>348</v>
      </c>
      <c r="B350" s="31" t="s">
        <v>2074</v>
      </c>
      <c r="C350" s="35" t="s">
        <v>2075</v>
      </c>
      <c r="D350" s="32" t="s">
        <v>2063</v>
      </c>
      <c r="E350" s="31" t="s">
        <v>1406</v>
      </c>
      <c r="F350" s="31" t="s">
        <v>1571</v>
      </c>
      <c r="G350" s="31"/>
    </row>
    <row r="351" spans="1:7" ht="28.5" hidden="1" customHeight="1" x14ac:dyDescent="0.45">
      <c r="A351" s="27">
        <v>349</v>
      </c>
      <c r="B351" s="28" t="s">
        <v>2076</v>
      </c>
      <c r="C351" s="34" t="s">
        <v>2077</v>
      </c>
      <c r="D351" s="29" t="s">
        <v>2063</v>
      </c>
      <c r="E351" s="28" t="s">
        <v>1406</v>
      </c>
      <c r="F351" s="28" t="s">
        <v>1414</v>
      </c>
      <c r="G351" s="28"/>
    </row>
    <row r="352" spans="1:7" ht="28.5" hidden="1" customHeight="1" x14ac:dyDescent="0.45">
      <c r="A352" s="30">
        <v>350</v>
      </c>
      <c r="B352" s="31" t="s">
        <v>2078</v>
      </c>
      <c r="C352" s="35" t="s">
        <v>2079</v>
      </c>
      <c r="D352" s="32" t="s">
        <v>2063</v>
      </c>
      <c r="E352" s="31" t="s">
        <v>1406</v>
      </c>
      <c r="F352" s="31" t="s">
        <v>1477</v>
      </c>
      <c r="G352" s="31"/>
    </row>
    <row r="353" spans="1:7" hidden="1" x14ac:dyDescent="0.45">
      <c r="A353" s="27">
        <v>351</v>
      </c>
      <c r="B353" s="28" t="s">
        <v>2080</v>
      </c>
      <c r="C353" s="34" t="s">
        <v>2081</v>
      </c>
      <c r="D353" s="29" t="s">
        <v>2063</v>
      </c>
      <c r="E353" s="28" t="s">
        <v>1406</v>
      </c>
      <c r="F353" s="28" t="s">
        <v>1477</v>
      </c>
      <c r="G353" s="28"/>
    </row>
    <row r="354" spans="1:7" ht="28.5" hidden="1" customHeight="1" x14ac:dyDescent="0.45">
      <c r="A354" s="30">
        <v>352</v>
      </c>
      <c r="B354" s="31" t="s">
        <v>2082</v>
      </c>
      <c r="C354" s="35" t="s">
        <v>2083</v>
      </c>
      <c r="D354" s="32" t="s">
        <v>2063</v>
      </c>
      <c r="E354" s="31" t="s">
        <v>1406</v>
      </c>
      <c r="F354" s="31" t="s">
        <v>1419</v>
      </c>
      <c r="G354" s="31"/>
    </row>
    <row r="355" spans="1:7" ht="28.5" hidden="1" customHeight="1" x14ac:dyDescent="0.45">
      <c r="A355" s="27">
        <v>353</v>
      </c>
      <c r="B355" s="28" t="s">
        <v>2084</v>
      </c>
      <c r="C355" s="34" t="s">
        <v>2085</v>
      </c>
      <c r="D355" s="29" t="s">
        <v>2086</v>
      </c>
      <c r="E355" s="28" t="s">
        <v>1406</v>
      </c>
      <c r="F355" s="28" t="s">
        <v>1571</v>
      </c>
      <c r="G355" s="28"/>
    </row>
    <row r="356" spans="1:7" ht="28.5" hidden="1" customHeight="1" x14ac:dyDescent="0.45">
      <c r="A356" s="30">
        <v>354</v>
      </c>
      <c r="B356" s="31" t="s">
        <v>2087</v>
      </c>
      <c r="C356" s="35" t="s">
        <v>2088</v>
      </c>
      <c r="D356" s="32" t="s">
        <v>2086</v>
      </c>
      <c r="E356" s="31" t="s">
        <v>1406</v>
      </c>
      <c r="F356" s="31" t="s">
        <v>1571</v>
      </c>
      <c r="G356" s="31"/>
    </row>
    <row r="357" spans="1:7" ht="28.5" hidden="1" customHeight="1" x14ac:dyDescent="0.45">
      <c r="A357" s="27">
        <v>355</v>
      </c>
      <c r="B357" s="28" t="s">
        <v>2089</v>
      </c>
      <c r="C357" s="34" t="s">
        <v>2090</v>
      </c>
      <c r="D357" s="29" t="s">
        <v>2086</v>
      </c>
      <c r="E357" s="28" t="s">
        <v>1406</v>
      </c>
      <c r="F357" s="28" t="s">
        <v>1571</v>
      </c>
      <c r="G357" s="28"/>
    </row>
    <row r="358" spans="1:7" ht="28.5" hidden="1" customHeight="1" x14ac:dyDescent="0.45">
      <c r="A358" s="30">
        <v>356</v>
      </c>
      <c r="B358" s="31" t="s">
        <v>2091</v>
      </c>
      <c r="C358" s="35" t="s">
        <v>2092</v>
      </c>
      <c r="D358" s="32" t="s">
        <v>2086</v>
      </c>
      <c r="E358" s="31" t="s">
        <v>1406</v>
      </c>
      <c r="F358" s="31" t="s">
        <v>1571</v>
      </c>
      <c r="G358" s="31"/>
    </row>
    <row r="359" spans="1:7" ht="28.5" hidden="1" customHeight="1" x14ac:dyDescent="0.45">
      <c r="A359" s="27">
        <v>357</v>
      </c>
      <c r="B359" s="28" t="s">
        <v>2093</v>
      </c>
      <c r="C359" s="34" t="s">
        <v>2094</v>
      </c>
      <c r="D359" s="29" t="s">
        <v>2086</v>
      </c>
      <c r="E359" s="28" t="s">
        <v>1406</v>
      </c>
      <c r="F359" s="28" t="s">
        <v>1571</v>
      </c>
      <c r="G359" s="28"/>
    </row>
    <row r="360" spans="1:7" ht="28.5" hidden="1" customHeight="1" x14ac:dyDescent="0.45">
      <c r="A360" s="30">
        <v>358</v>
      </c>
      <c r="B360" s="31" t="s">
        <v>2095</v>
      </c>
      <c r="C360" s="35" t="s">
        <v>2096</v>
      </c>
      <c r="D360" s="32" t="s">
        <v>2086</v>
      </c>
      <c r="E360" s="31" t="s">
        <v>1406</v>
      </c>
      <c r="F360" s="31" t="s">
        <v>1571</v>
      </c>
      <c r="G360" s="31"/>
    </row>
    <row r="361" spans="1:7" ht="28.5" hidden="1" customHeight="1" x14ac:dyDescent="0.45">
      <c r="A361" s="27">
        <v>359</v>
      </c>
      <c r="B361" s="28" t="s">
        <v>2097</v>
      </c>
      <c r="C361" s="34" t="s">
        <v>2098</v>
      </c>
      <c r="D361" s="29" t="s">
        <v>2086</v>
      </c>
      <c r="E361" s="28" t="s">
        <v>1406</v>
      </c>
      <c r="F361" s="28" t="s">
        <v>1571</v>
      </c>
      <c r="G361" s="28"/>
    </row>
    <row r="362" spans="1:7" ht="28.5" hidden="1" customHeight="1" x14ac:dyDescent="0.45">
      <c r="A362" s="30">
        <v>360</v>
      </c>
      <c r="B362" s="31" t="s">
        <v>2099</v>
      </c>
      <c r="C362" s="35" t="s">
        <v>2100</v>
      </c>
      <c r="D362" s="32" t="s">
        <v>2086</v>
      </c>
      <c r="E362" s="31" t="s">
        <v>1406</v>
      </c>
      <c r="F362" s="31" t="s">
        <v>1571</v>
      </c>
      <c r="G362" s="31"/>
    </row>
    <row r="363" spans="1:7" ht="28.5" hidden="1" customHeight="1" x14ac:dyDescent="0.45">
      <c r="A363" s="27">
        <v>361</v>
      </c>
      <c r="B363" s="28" t="s">
        <v>2101</v>
      </c>
      <c r="C363" s="34" t="s">
        <v>2102</v>
      </c>
      <c r="D363" s="29" t="s">
        <v>2086</v>
      </c>
      <c r="E363" s="28" t="s">
        <v>1406</v>
      </c>
      <c r="F363" s="28" t="s">
        <v>1571</v>
      </c>
      <c r="G363" s="28"/>
    </row>
    <row r="364" spans="1:7" ht="28.5" hidden="1" customHeight="1" x14ac:dyDescent="0.45">
      <c r="A364" s="30">
        <v>362</v>
      </c>
      <c r="B364" s="31" t="s">
        <v>2103</v>
      </c>
      <c r="C364" s="35" t="s">
        <v>2104</v>
      </c>
      <c r="D364" s="32" t="s">
        <v>2086</v>
      </c>
      <c r="E364" s="31" t="s">
        <v>1406</v>
      </c>
      <c r="F364" s="31" t="s">
        <v>1571</v>
      </c>
      <c r="G364" s="31"/>
    </row>
    <row r="365" spans="1:7" ht="28.5" hidden="1" customHeight="1" x14ac:dyDescent="0.45">
      <c r="A365" s="27">
        <v>363</v>
      </c>
      <c r="B365" s="28" t="s">
        <v>2105</v>
      </c>
      <c r="C365" s="34" t="s">
        <v>2106</v>
      </c>
      <c r="D365" s="29" t="s">
        <v>2107</v>
      </c>
      <c r="E365" s="28" t="s">
        <v>1406</v>
      </c>
      <c r="F365" s="28" t="s">
        <v>1571</v>
      </c>
      <c r="G365" s="28"/>
    </row>
    <row r="366" spans="1:7" ht="28.5" hidden="1" customHeight="1" x14ac:dyDescent="0.45">
      <c r="A366" s="30">
        <v>364</v>
      </c>
      <c r="B366" s="31" t="s">
        <v>2108</v>
      </c>
      <c r="C366" s="35" t="s">
        <v>2109</v>
      </c>
      <c r="D366" s="32" t="s">
        <v>2107</v>
      </c>
      <c r="E366" s="31" t="s">
        <v>1406</v>
      </c>
      <c r="F366" s="31" t="s">
        <v>1419</v>
      </c>
      <c r="G366" s="31"/>
    </row>
    <row r="367" spans="1:7" ht="28.5" hidden="1" customHeight="1" x14ac:dyDescent="0.45">
      <c r="A367" s="27">
        <v>365</v>
      </c>
      <c r="B367" s="28" t="s">
        <v>2110</v>
      </c>
      <c r="C367" s="34" t="s">
        <v>2111</v>
      </c>
      <c r="D367" s="29" t="s">
        <v>2107</v>
      </c>
      <c r="E367" s="28" t="s">
        <v>1406</v>
      </c>
      <c r="F367" s="28" t="s">
        <v>1571</v>
      </c>
      <c r="G367" s="28"/>
    </row>
    <row r="368" spans="1:7" ht="28.5" hidden="1" customHeight="1" x14ac:dyDescent="0.45">
      <c r="A368" s="30">
        <v>366</v>
      </c>
      <c r="B368" s="31" t="s">
        <v>2112</v>
      </c>
      <c r="C368" s="35" t="s">
        <v>2113</v>
      </c>
      <c r="D368" s="32" t="s">
        <v>2107</v>
      </c>
      <c r="E368" s="31" t="s">
        <v>1406</v>
      </c>
      <c r="F368" s="31" t="s">
        <v>1571</v>
      </c>
      <c r="G368" s="31"/>
    </row>
    <row r="369" spans="1:7" ht="28.5" hidden="1" customHeight="1" x14ac:dyDescent="0.45">
      <c r="A369" s="27">
        <v>367</v>
      </c>
      <c r="B369" s="28" t="s">
        <v>2114</v>
      </c>
      <c r="C369" s="34" t="s">
        <v>2115</v>
      </c>
      <c r="D369" s="29" t="s">
        <v>2107</v>
      </c>
      <c r="E369" s="28" t="s">
        <v>1406</v>
      </c>
      <c r="F369" s="28" t="s">
        <v>1571</v>
      </c>
      <c r="G369" s="28"/>
    </row>
    <row r="370" spans="1:7" ht="28.5" hidden="1" customHeight="1" x14ac:dyDescent="0.45">
      <c r="A370" s="30">
        <v>368</v>
      </c>
      <c r="B370" s="31" t="s">
        <v>2116</v>
      </c>
      <c r="C370" s="35" t="s">
        <v>2117</v>
      </c>
      <c r="D370" s="32" t="s">
        <v>2107</v>
      </c>
      <c r="E370" s="31" t="s">
        <v>1406</v>
      </c>
      <c r="F370" s="31" t="s">
        <v>1571</v>
      </c>
      <c r="G370" s="31"/>
    </row>
    <row r="371" spans="1:7" ht="28.5" hidden="1" customHeight="1" x14ac:dyDescent="0.45">
      <c r="A371" s="27">
        <v>369</v>
      </c>
      <c r="B371" s="28" t="s">
        <v>2118</v>
      </c>
      <c r="C371" s="34" t="s">
        <v>2119</v>
      </c>
      <c r="D371" s="29" t="s">
        <v>2107</v>
      </c>
      <c r="E371" s="28" t="s">
        <v>1406</v>
      </c>
      <c r="F371" s="28" t="s">
        <v>1571</v>
      </c>
      <c r="G371" s="28"/>
    </row>
    <row r="372" spans="1:7" ht="28.5" hidden="1" customHeight="1" x14ac:dyDescent="0.45">
      <c r="A372" s="30">
        <v>370</v>
      </c>
      <c r="B372" s="31" t="s">
        <v>2120</v>
      </c>
      <c r="C372" s="35" t="s">
        <v>2121</v>
      </c>
      <c r="D372" s="32" t="s">
        <v>2107</v>
      </c>
      <c r="E372" s="31" t="s">
        <v>1406</v>
      </c>
      <c r="F372" s="31" t="s">
        <v>1571</v>
      </c>
      <c r="G372" s="31"/>
    </row>
    <row r="373" spans="1:7" ht="28.5" hidden="1" customHeight="1" x14ac:dyDescent="0.45">
      <c r="A373" s="27">
        <v>371</v>
      </c>
      <c r="B373" s="28" t="s">
        <v>2122</v>
      </c>
      <c r="C373" s="34" t="s">
        <v>2123</v>
      </c>
      <c r="D373" s="29" t="s">
        <v>2107</v>
      </c>
      <c r="E373" s="28" t="s">
        <v>1406</v>
      </c>
      <c r="F373" s="28" t="s">
        <v>1506</v>
      </c>
      <c r="G373" s="28"/>
    </row>
    <row r="374" spans="1:7" ht="28.5" hidden="1" customHeight="1" x14ac:dyDescent="0.45">
      <c r="A374" s="30">
        <v>372</v>
      </c>
      <c r="B374" s="31" t="s">
        <v>2124</v>
      </c>
      <c r="C374" s="35" t="s">
        <v>2125</v>
      </c>
      <c r="D374" s="32" t="s">
        <v>2107</v>
      </c>
      <c r="E374" s="31" t="s">
        <v>1406</v>
      </c>
      <c r="F374" s="31" t="s">
        <v>1571</v>
      </c>
      <c r="G374" s="31"/>
    </row>
    <row r="375" spans="1:7" hidden="1" x14ac:dyDescent="0.45">
      <c r="A375" s="27">
        <v>373</v>
      </c>
      <c r="B375" s="28" t="s">
        <v>2126</v>
      </c>
      <c r="C375" s="34" t="s">
        <v>2127</v>
      </c>
      <c r="D375" s="29" t="s">
        <v>2107</v>
      </c>
      <c r="E375" s="28" t="s">
        <v>1406</v>
      </c>
      <c r="F375" s="28" t="s">
        <v>1571</v>
      </c>
      <c r="G375" s="28"/>
    </row>
    <row r="376" spans="1:7" ht="28.5" hidden="1" customHeight="1" x14ac:dyDescent="0.45">
      <c r="A376" s="30">
        <v>374</v>
      </c>
      <c r="B376" s="31" t="s">
        <v>2128</v>
      </c>
      <c r="C376" s="35" t="s">
        <v>2129</v>
      </c>
      <c r="D376" s="32" t="s">
        <v>2107</v>
      </c>
      <c r="E376" s="31" t="s">
        <v>1406</v>
      </c>
      <c r="F376" s="31" t="s">
        <v>1571</v>
      </c>
      <c r="G376" s="31"/>
    </row>
    <row r="377" spans="1:7" ht="28.5" hidden="1" customHeight="1" x14ac:dyDescent="0.45">
      <c r="A377" s="27">
        <v>375</v>
      </c>
      <c r="B377" s="28" t="s">
        <v>2130</v>
      </c>
      <c r="C377" s="34" t="s">
        <v>2131</v>
      </c>
      <c r="D377" s="29" t="s">
        <v>2107</v>
      </c>
      <c r="E377" s="28" t="s">
        <v>1406</v>
      </c>
      <c r="F377" s="28" t="s">
        <v>1571</v>
      </c>
      <c r="G377" s="28"/>
    </row>
    <row r="378" spans="1:7" ht="28.5" hidden="1" customHeight="1" x14ac:dyDescent="0.45">
      <c r="A378" s="30">
        <v>376</v>
      </c>
      <c r="B378" s="31" t="s">
        <v>2132</v>
      </c>
      <c r="C378" s="35" t="s">
        <v>2133</v>
      </c>
      <c r="D378" s="32" t="s">
        <v>2107</v>
      </c>
      <c r="E378" s="31" t="s">
        <v>1406</v>
      </c>
      <c r="F378" s="31" t="s">
        <v>1571</v>
      </c>
      <c r="G378" s="31"/>
    </row>
    <row r="379" spans="1:7" ht="28.5" hidden="1" customHeight="1" x14ac:dyDescent="0.45">
      <c r="A379" s="27">
        <v>377</v>
      </c>
      <c r="B379" s="28" t="s">
        <v>2134</v>
      </c>
      <c r="C379" s="34" t="s">
        <v>2135</v>
      </c>
      <c r="D379" s="29" t="s">
        <v>2107</v>
      </c>
      <c r="E379" s="28" t="s">
        <v>1406</v>
      </c>
      <c r="F379" s="28" t="s">
        <v>1571</v>
      </c>
      <c r="G379" s="28"/>
    </row>
    <row r="380" spans="1:7" hidden="1" x14ac:dyDescent="0.45">
      <c r="A380" s="30">
        <v>378</v>
      </c>
      <c r="B380" s="31" t="s">
        <v>2136</v>
      </c>
      <c r="C380" s="35" t="s">
        <v>2137</v>
      </c>
      <c r="D380" s="32" t="s">
        <v>2107</v>
      </c>
      <c r="E380" s="31" t="s">
        <v>1406</v>
      </c>
      <c r="F380" s="31" t="s">
        <v>1571</v>
      </c>
      <c r="G380" s="31"/>
    </row>
    <row r="381" spans="1:7" ht="28.5" hidden="1" customHeight="1" x14ac:dyDescent="0.45">
      <c r="A381" s="27">
        <v>379</v>
      </c>
      <c r="B381" s="28" t="s">
        <v>2138</v>
      </c>
      <c r="C381" s="34" t="s">
        <v>2139</v>
      </c>
      <c r="D381" s="29" t="s">
        <v>2107</v>
      </c>
      <c r="E381" s="28" t="s">
        <v>1406</v>
      </c>
      <c r="F381" s="28" t="s">
        <v>1571</v>
      </c>
      <c r="G381" s="28"/>
    </row>
    <row r="382" spans="1:7" ht="28.5" hidden="1" customHeight="1" x14ac:dyDescent="0.45">
      <c r="A382" s="30">
        <v>380</v>
      </c>
      <c r="B382" s="31" t="s">
        <v>2140</v>
      </c>
      <c r="C382" s="35" t="s">
        <v>2141</v>
      </c>
      <c r="D382" s="32" t="s">
        <v>2107</v>
      </c>
      <c r="E382" s="31" t="s">
        <v>1406</v>
      </c>
      <c r="F382" s="31" t="s">
        <v>1571</v>
      </c>
      <c r="G382" s="31"/>
    </row>
    <row r="383" spans="1:7" ht="28.5" hidden="1" customHeight="1" x14ac:dyDescent="0.45">
      <c r="A383" s="27">
        <v>381</v>
      </c>
      <c r="B383" s="28" t="s">
        <v>2142</v>
      </c>
      <c r="C383" s="34" t="s">
        <v>2143</v>
      </c>
      <c r="D383" s="29" t="s">
        <v>2107</v>
      </c>
      <c r="E383" s="28" t="s">
        <v>1406</v>
      </c>
      <c r="F383" s="28" t="s">
        <v>1571</v>
      </c>
      <c r="G383" s="28"/>
    </row>
    <row r="384" spans="1:7" hidden="1" x14ac:dyDescent="0.45">
      <c r="A384" s="30">
        <v>382</v>
      </c>
      <c r="B384" s="31" t="s">
        <v>2144</v>
      </c>
      <c r="C384" s="35" t="s">
        <v>2145</v>
      </c>
      <c r="D384" s="32" t="s">
        <v>2107</v>
      </c>
      <c r="E384" s="31" t="s">
        <v>1406</v>
      </c>
      <c r="F384" s="31" t="s">
        <v>1419</v>
      </c>
      <c r="G384" s="31"/>
    </row>
    <row r="385" spans="1:7" ht="28.5" hidden="1" customHeight="1" x14ac:dyDescent="0.45">
      <c r="A385" s="27">
        <v>383</v>
      </c>
      <c r="B385" s="28" t="s">
        <v>2146</v>
      </c>
      <c r="C385" s="34" t="s">
        <v>2147</v>
      </c>
      <c r="D385" s="29" t="s">
        <v>2107</v>
      </c>
      <c r="E385" s="28" t="s">
        <v>1406</v>
      </c>
      <c r="F385" s="28" t="s">
        <v>1571</v>
      </c>
      <c r="G385" s="28"/>
    </row>
    <row r="386" spans="1:7" ht="28.5" hidden="1" customHeight="1" x14ac:dyDescent="0.45">
      <c r="A386" s="30">
        <v>384</v>
      </c>
      <c r="B386" s="31" t="s">
        <v>2148</v>
      </c>
      <c r="C386" s="35" t="s">
        <v>2149</v>
      </c>
      <c r="D386" s="32" t="s">
        <v>2107</v>
      </c>
      <c r="E386" s="31" t="s">
        <v>1406</v>
      </c>
      <c r="F386" s="31" t="s">
        <v>1571</v>
      </c>
      <c r="G386" s="31"/>
    </row>
    <row r="387" spans="1:7" ht="28.5" hidden="1" customHeight="1" x14ac:dyDescent="0.45">
      <c r="A387" s="27">
        <v>385</v>
      </c>
      <c r="B387" s="28" t="s">
        <v>2150</v>
      </c>
      <c r="C387" s="34" t="s">
        <v>2151</v>
      </c>
      <c r="D387" s="29" t="s">
        <v>2107</v>
      </c>
      <c r="E387" s="28" t="s">
        <v>1406</v>
      </c>
      <c r="F387" s="28" t="s">
        <v>1571</v>
      </c>
      <c r="G387" s="28"/>
    </row>
    <row r="388" spans="1:7" ht="28.5" hidden="1" customHeight="1" x14ac:dyDescent="0.45">
      <c r="A388" s="30">
        <v>386</v>
      </c>
      <c r="B388" s="31" t="s">
        <v>2152</v>
      </c>
      <c r="C388" s="35" t="s">
        <v>2153</v>
      </c>
      <c r="D388" s="32" t="s">
        <v>2107</v>
      </c>
      <c r="E388" s="31" t="s">
        <v>1406</v>
      </c>
      <c r="F388" s="31" t="s">
        <v>1419</v>
      </c>
      <c r="G388" s="31"/>
    </row>
    <row r="389" spans="1:7" ht="28.5" hidden="1" customHeight="1" x14ac:dyDescent="0.45">
      <c r="A389" s="27">
        <v>387</v>
      </c>
      <c r="B389" s="28" t="s">
        <v>2154</v>
      </c>
      <c r="C389" s="34" t="s">
        <v>2155</v>
      </c>
      <c r="D389" s="29" t="s">
        <v>2107</v>
      </c>
      <c r="E389" s="28" t="s">
        <v>1406</v>
      </c>
      <c r="F389" s="28" t="s">
        <v>1571</v>
      </c>
      <c r="G389" s="28"/>
    </row>
    <row r="390" spans="1:7" ht="28.5" hidden="1" customHeight="1" x14ac:dyDescent="0.45">
      <c r="A390" s="30">
        <v>388</v>
      </c>
      <c r="B390" s="31" t="s">
        <v>2156</v>
      </c>
      <c r="C390" s="35" t="s">
        <v>2157</v>
      </c>
      <c r="D390" s="32" t="s">
        <v>2107</v>
      </c>
      <c r="E390" s="31" t="s">
        <v>1406</v>
      </c>
      <c r="F390" s="31" t="s">
        <v>1571</v>
      </c>
      <c r="G390" s="31"/>
    </row>
    <row r="391" spans="1:7" ht="28.5" hidden="1" customHeight="1" x14ac:dyDescent="0.45">
      <c r="A391" s="27">
        <v>389</v>
      </c>
      <c r="B391" s="28" t="s">
        <v>2158</v>
      </c>
      <c r="C391" s="34" t="s">
        <v>2159</v>
      </c>
      <c r="D391" s="29" t="s">
        <v>2107</v>
      </c>
      <c r="E391" s="28" t="s">
        <v>1406</v>
      </c>
      <c r="F391" s="28" t="s">
        <v>1571</v>
      </c>
      <c r="G391" s="28"/>
    </row>
    <row r="392" spans="1:7" ht="28.5" hidden="1" customHeight="1" x14ac:dyDescent="0.45">
      <c r="A392" s="30">
        <v>390</v>
      </c>
      <c r="B392" s="31" t="s">
        <v>2160</v>
      </c>
      <c r="C392" s="35" t="s">
        <v>2161</v>
      </c>
      <c r="D392" s="32" t="s">
        <v>2162</v>
      </c>
      <c r="E392" s="31" t="s">
        <v>1406</v>
      </c>
      <c r="F392" s="31" t="s">
        <v>1419</v>
      </c>
      <c r="G392" s="31"/>
    </row>
    <row r="393" spans="1:7" ht="28.5" hidden="1" customHeight="1" x14ac:dyDescent="0.45">
      <c r="A393" s="27">
        <v>391</v>
      </c>
      <c r="B393" s="28" t="s">
        <v>2163</v>
      </c>
      <c r="C393" s="34" t="s">
        <v>2164</v>
      </c>
      <c r="D393" s="29" t="s">
        <v>2162</v>
      </c>
      <c r="E393" s="28" t="s">
        <v>1406</v>
      </c>
      <c r="F393" s="28" t="s">
        <v>1419</v>
      </c>
      <c r="G393" s="28"/>
    </row>
    <row r="394" spans="1:7" ht="28.5" hidden="1" customHeight="1" x14ac:dyDescent="0.45">
      <c r="A394" s="30">
        <v>392</v>
      </c>
      <c r="B394" s="31" t="s">
        <v>2165</v>
      </c>
      <c r="C394" s="35" t="s">
        <v>2166</v>
      </c>
      <c r="D394" s="32" t="s">
        <v>2162</v>
      </c>
      <c r="E394" s="31" t="s">
        <v>1406</v>
      </c>
      <c r="F394" s="31" t="s">
        <v>1571</v>
      </c>
      <c r="G394" s="31"/>
    </row>
    <row r="395" spans="1:7" hidden="1" x14ac:dyDescent="0.45">
      <c r="A395" s="27">
        <v>393</v>
      </c>
      <c r="B395" s="28" t="s">
        <v>2167</v>
      </c>
      <c r="C395" s="34" t="s">
        <v>2168</v>
      </c>
      <c r="D395" s="29" t="s">
        <v>2162</v>
      </c>
      <c r="E395" s="28" t="s">
        <v>1406</v>
      </c>
      <c r="F395" s="28" t="s">
        <v>1571</v>
      </c>
      <c r="G395" s="28"/>
    </row>
    <row r="396" spans="1:7" hidden="1" x14ac:dyDescent="0.45">
      <c r="A396" s="30">
        <v>394</v>
      </c>
      <c r="B396" s="31" t="s">
        <v>2169</v>
      </c>
      <c r="C396" s="35" t="s">
        <v>2170</v>
      </c>
      <c r="D396" s="32" t="s">
        <v>2162</v>
      </c>
      <c r="E396" s="31" t="s">
        <v>1406</v>
      </c>
      <c r="F396" s="31" t="s">
        <v>1571</v>
      </c>
      <c r="G396" s="31"/>
    </row>
    <row r="397" spans="1:7" ht="28.5" hidden="1" customHeight="1" x14ac:dyDescent="0.45">
      <c r="A397" s="27">
        <v>395</v>
      </c>
      <c r="B397" s="28" t="s">
        <v>2171</v>
      </c>
      <c r="C397" s="34" t="s">
        <v>2172</v>
      </c>
      <c r="D397" s="29" t="s">
        <v>2162</v>
      </c>
      <c r="E397" s="28" t="s">
        <v>1406</v>
      </c>
      <c r="F397" s="28" t="s">
        <v>1571</v>
      </c>
      <c r="G397" s="28"/>
    </row>
    <row r="398" spans="1:7" ht="28.5" hidden="1" customHeight="1" x14ac:dyDescent="0.45">
      <c r="A398" s="30">
        <v>396</v>
      </c>
      <c r="B398" s="31" t="s">
        <v>2173</v>
      </c>
      <c r="C398" s="35" t="s">
        <v>2174</v>
      </c>
      <c r="D398" s="32" t="s">
        <v>2162</v>
      </c>
      <c r="E398" s="31" t="s">
        <v>1406</v>
      </c>
      <c r="F398" s="31" t="s">
        <v>1571</v>
      </c>
      <c r="G398" s="31"/>
    </row>
    <row r="399" spans="1:7" ht="28.5" hidden="1" customHeight="1" x14ac:dyDescent="0.45">
      <c r="A399" s="27">
        <v>397</v>
      </c>
      <c r="B399" s="28" t="s">
        <v>2175</v>
      </c>
      <c r="C399" s="34" t="s">
        <v>2176</v>
      </c>
      <c r="D399" s="29" t="s">
        <v>2162</v>
      </c>
      <c r="E399" s="28" t="s">
        <v>1406</v>
      </c>
      <c r="F399" s="28" t="s">
        <v>1506</v>
      </c>
      <c r="G399" s="28"/>
    </row>
    <row r="400" spans="1:7" hidden="1" x14ac:dyDescent="0.45">
      <c r="A400" s="30">
        <v>398</v>
      </c>
      <c r="B400" s="31" t="s">
        <v>2177</v>
      </c>
      <c r="C400" s="35" t="s">
        <v>2178</v>
      </c>
      <c r="D400" s="32" t="s">
        <v>2162</v>
      </c>
      <c r="E400" s="31" t="s">
        <v>1406</v>
      </c>
      <c r="F400" s="31" t="s">
        <v>1506</v>
      </c>
      <c r="G400" s="31"/>
    </row>
    <row r="401" spans="1:7" ht="28.5" hidden="1" customHeight="1" x14ac:dyDescent="0.45">
      <c r="A401" s="27">
        <v>399</v>
      </c>
      <c r="B401" s="28" t="s">
        <v>2179</v>
      </c>
      <c r="C401" s="34" t="s">
        <v>2180</v>
      </c>
      <c r="D401" s="29" t="s">
        <v>2162</v>
      </c>
      <c r="E401" s="28" t="s">
        <v>1406</v>
      </c>
      <c r="F401" s="28" t="s">
        <v>1571</v>
      </c>
      <c r="G401" s="28"/>
    </row>
    <row r="402" spans="1:7" ht="28.5" hidden="1" customHeight="1" x14ac:dyDescent="0.45">
      <c r="A402" s="30">
        <v>400</v>
      </c>
      <c r="B402" s="31" t="s">
        <v>2181</v>
      </c>
      <c r="C402" s="35" t="s">
        <v>2182</v>
      </c>
      <c r="D402" s="32" t="s">
        <v>2162</v>
      </c>
      <c r="E402" s="31" t="s">
        <v>1406</v>
      </c>
      <c r="F402" s="31" t="s">
        <v>1571</v>
      </c>
      <c r="G402" s="31"/>
    </row>
    <row r="403" spans="1:7" ht="28.5" hidden="1" customHeight="1" x14ac:dyDescent="0.45">
      <c r="A403" s="27">
        <v>401</v>
      </c>
      <c r="B403" s="28" t="s">
        <v>2183</v>
      </c>
      <c r="C403" s="34" t="s">
        <v>2184</v>
      </c>
      <c r="D403" s="29" t="s">
        <v>2162</v>
      </c>
      <c r="E403" s="28" t="s">
        <v>1406</v>
      </c>
      <c r="F403" s="28" t="s">
        <v>1571</v>
      </c>
      <c r="G403" s="28"/>
    </row>
    <row r="404" spans="1:7" ht="28.5" hidden="1" customHeight="1" x14ac:dyDescent="0.45">
      <c r="A404" s="30">
        <v>402</v>
      </c>
      <c r="B404" s="31" t="s">
        <v>2185</v>
      </c>
      <c r="C404" s="35" t="s">
        <v>2186</v>
      </c>
      <c r="D404" s="32" t="s">
        <v>2162</v>
      </c>
      <c r="E404" s="31" t="s">
        <v>1406</v>
      </c>
      <c r="F404" s="31" t="s">
        <v>1571</v>
      </c>
      <c r="G404" s="31"/>
    </row>
    <row r="405" spans="1:7" ht="28.5" hidden="1" customHeight="1" x14ac:dyDescent="0.45">
      <c r="A405" s="27">
        <v>403</v>
      </c>
      <c r="B405" s="28" t="s">
        <v>2187</v>
      </c>
      <c r="C405" s="34" t="s">
        <v>2188</v>
      </c>
      <c r="D405" s="29" t="s">
        <v>2162</v>
      </c>
      <c r="E405" s="28" t="s">
        <v>1406</v>
      </c>
      <c r="F405" s="28" t="s">
        <v>1571</v>
      </c>
      <c r="G405" s="28"/>
    </row>
    <row r="406" spans="1:7" ht="28.5" hidden="1" customHeight="1" x14ac:dyDescent="0.45">
      <c r="A406" s="30">
        <v>404</v>
      </c>
      <c r="B406" s="31" t="s">
        <v>2189</v>
      </c>
      <c r="C406" s="35" t="s">
        <v>2190</v>
      </c>
      <c r="D406" s="32" t="s">
        <v>2162</v>
      </c>
      <c r="E406" s="31" t="s">
        <v>1406</v>
      </c>
      <c r="F406" s="31" t="s">
        <v>1571</v>
      </c>
      <c r="G406" s="31"/>
    </row>
    <row r="407" spans="1:7" ht="28.5" hidden="1" customHeight="1" x14ac:dyDescent="0.45">
      <c r="A407" s="27">
        <v>405</v>
      </c>
      <c r="B407" s="28" t="s">
        <v>2191</v>
      </c>
      <c r="C407" s="34" t="s">
        <v>2192</v>
      </c>
      <c r="D407" s="29" t="s">
        <v>2162</v>
      </c>
      <c r="E407" s="28" t="s">
        <v>1406</v>
      </c>
      <c r="F407" s="28" t="s">
        <v>1571</v>
      </c>
      <c r="G407" s="28"/>
    </row>
    <row r="408" spans="1:7" ht="28.5" hidden="1" customHeight="1" x14ac:dyDescent="0.45">
      <c r="A408" s="30">
        <v>406</v>
      </c>
      <c r="B408" s="31" t="s">
        <v>2193</v>
      </c>
      <c r="C408" s="35" t="s">
        <v>2194</v>
      </c>
      <c r="D408" s="32" t="s">
        <v>2162</v>
      </c>
      <c r="E408" s="31" t="s">
        <v>1406</v>
      </c>
      <c r="F408" s="31" t="s">
        <v>1419</v>
      </c>
      <c r="G408" s="31"/>
    </row>
    <row r="409" spans="1:7" ht="28.5" hidden="1" customHeight="1" x14ac:dyDescent="0.45">
      <c r="A409" s="27">
        <v>407</v>
      </c>
      <c r="B409" s="28" t="s">
        <v>2195</v>
      </c>
      <c r="C409" s="34" t="s">
        <v>2196</v>
      </c>
      <c r="D409" s="29" t="s">
        <v>2162</v>
      </c>
      <c r="E409" s="28" t="s">
        <v>1406</v>
      </c>
      <c r="F409" s="28" t="s">
        <v>1571</v>
      </c>
      <c r="G409" s="28"/>
    </row>
    <row r="410" spans="1:7" ht="28.5" hidden="1" customHeight="1" x14ac:dyDescent="0.45">
      <c r="A410" s="30">
        <v>408</v>
      </c>
      <c r="B410" s="31" t="s">
        <v>2197</v>
      </c>
      <c r="C410" s="35" t="s">
        <v>2198</v>
      </c>
      <c r="D410" s="32" t="s">
        <v>2162</v>
      </c>
      <c r="E410" s="31" t="s">
        <v>1406</v>
      </c>
      <c r="F410" s="31" t="s">
        <v>1571</v>
      </c>
      <c r="G410" s="31"/>
    </row>
    <row r="411" spans="1:7" ht="28.5" hidden="1" customHeight="1" x14ac:dyDescent="0.45">
      <c r="A411" s="27">
        <v>409</v>
      </c>
      <c r="B411" s="28" t="s">
        <v>2199</v>
      </c>
      <c r="C411" s="34" t="s">
        <v>2200</v>
      </c>
      <c r="D411" s="29" t="s">
        <v>2162</v>
      </c>
      <c r="E411" s="28" t="s">
        <v>1406</v>
      </c>
      <c r="F411" s="28" t="s">
        <v>1571</v>
      </c>
      <c r="G411" s="28"/>
    </row>
    <row r="412" spans="1:7" ht="28.5" hidden="1" customHeight="1" x14ac:dyDescent="0.45">
      <c r="A412" s="30">
        <v>410</v>
      </c>
      <c r="B412" s="31" t="s">
        <v>2201</v>
      </c>
      <c r="C412" s="35" t="s">
        <v>2202</v>
      </c>
      <c r="D412" s="32" t="s">
        <v>2162</v>
      </c>
      <c r="E412" s="31" t="s">
        <v>1406</v>
      </c>
      <c r="F412" s="31" t="s">
        <v>1571</v>
      </c>
      <c r="G412" s="31"/>
    </row>
    <row r="413" spans="1:7" ht="28.5" hidden="1" customHeight="1" x14ac:dyDescent="0.45">
      <c r="A413" s="27">
        <v>411</v>
      </c>
      <c r="B413" s="28" t="s">
        <v>2203</v>
      </c>
      <c r="C413" s="34" t="s">
        <v>2204</v>
      </c>
      <c r="D413" s="29" t="s">
        <v>2162</v>
      </c>
      <c r="E413" s="28" t="s">
        <v>1406</v>
      </c>
      <c r="F413" s="28" t="s">
        <v>1571</v>
      </c>
      <c r="G413" s="28"/>
    </row>
    <row r="414" spans="1:7" ht="28.5" hidden="1" customHeight="1" x14ac:dyDescent="0.45">
      <c r="A414" s="30">
        <v>412</v>
      </c>
      <c r="B414" s="31" t="s">
        <v>2205</v>
      </c>
      <c r="C414" s="35" t="s">
        <v>2206</v>
      </c>
      <c r="D414" s="32" t="s">
        <v>2162</v>
      </c>
      <c r="E414" s="31" t="s">
        <v>1406</v>
      </c>
      <c r="F414" s="31" t="s">
        <v>1571</v>
      </c>
      <c r="G414" s="31"/>
    </row>
    <row r="415" spans="1:7" ht="28.5" hidden="1" customHeight="1" x14ac:dyDescent="0.45">
      <c r="A415" s="27">
        <v>413</v>
      </c>
      <c r="B415" s="28" t="s">
        <v>2207</v>
      </c>
      <c r="C415" s="34" t="s">
        <v>2208</v>
      </c>
      <c r="D415" s="29" t="s">
        <v>2162</v>
      </c>
      <c r="E415" s="28" t="s">
        <v>1406</v>
      </c>
      <c r="F415" s="28" t="s">
        <v>1571</v>
      </c>
      <c r="G415" s="28"/>
    </row>
    <row r="416" spans="1:7" ht="28.5" hidden="1" customHeight="1" x14ac:dyDescent="0.45">
      <c r="A416" s="30">
        <v>414</v>
      </c>
      <c r="B416" s="31" t="s">
        <v>2209</v>
      </c>
      <c r="C416" s="35" t="s">
        <v>2210</v>
      </c>
      <c r="D416" s="32" t="s">
        <v>2162</v>
      </c>
      <c r="E416" s="31" t="s">
        <v>1406</v>
      </c>
      <c r="F416" s="31" t="s">
        <v>1571</v>
      </c>
      <c r="G416" s="31"/>
    </row>
    <row r="417" spans="1:7" ht="28.5" hidden="1" customHeight="1" x14ac:dyDescent="0.45">
      <c r="A417" s="27">
        <v>415</v>
      </c>
      <c r="B417" s="28" t="s">
        <v>2211</v>
      </c>
      <c r="C417" s="34" t="s">
        <v>2212</v>
      </c>
      <c r="D417" s="29" t="s">
        <v>2162</v>
      </c>
      <c r="E417" s="28" t="s">
        <v>1406</v>
      </c>
      <c r="F417" s="28" t="s">
        <v>1571</v>
      </c>
      <c r="G417" s="28"/>
    </row>
    <row r="418" spans="1:7" ht="28.5" hidden="1" customHeight="1" x14ac:dyDescent="0.45">
      <c r="A418" s="30">
        <v>416</v>
      </c>
      <c r="B418" s="31" t="s">
        <v>2213</v>
      </c>
      <c r="C418" s="35" t="s">
        <v>2214</v>
      </c>
      <c r="D418" s="32" t="s">
        <v>2162</v>
      </c>
      <c r="E418" s="31" t="s">
        <v>1406</v>
      </c>
      <c r="F418" s="31" t="s">
        <v>1571</v>
      </c>
      <c r="G418" s="31"/>
    </row>
    <row r="419" spans="1:7" hidden="1" x14ac:dyDescent="0.45">
      <c r="A419" s="27">
        <v>417</v>
      </c>
      <c r="B419" s="28" t="s">
        <v>2215</v>
      </c>
      <c r="C419" s="34" t="s">
        <v>2216</v>
      </c>
      <c r="D419" s="29" t="s">
        <v>2162</v>
      </c>
      <c r="E419" s="28" t="s">
        <v>1406</v>
      </c>
      <c r="F419" s="28" t="s">
        <v>1571</v>
      </c>
      <c r="G419" s="28"/>
    </row>
    <row r="420" spans="1:7" ht="28.5" hidden="1" customHeight="1" x14ac:dyDescent="0.45">
      <c r="A420" s="30">
        <v>418</v>
      </c>
      <c r="B420" s="31" t="s">
        <v>2217</v>
      </c>
      <c r="C420" s="35" t="s">
        <v>2218</v>
      </c>
      <c r="D420" s="32" t="s">
        <v>2162</v>
      </c>
      <c r="E420" s="31" t="s">
        <v>1406</v>
      </c>
      <c r="F420" s="31" t="s">
        <v>1571</v>
      </c>
      <c r="G420" s="31"/>
    </row>
    <row r="421" spans="1:7" hidden="1" x14ac:dyDescent="0.45">
      <c r="A421" s="27">
        <v>419</v>
      </c>
      <c r="B421" s="28" t="s">
        <v>2219</v>
      </c>
      <c r="C421" s="34" t="s">
        <v>2220</v>
      </c>
      <c r="D421" s="29" t="s">
        <v>2162</v>
      </c>
      <c r="E421" s="28" t="s">
        <v>1406</v>
      </c>
      <c r="F421" s="28" t="s">
        <v>1571</v>
      </c>
      <c r="G421" s="28"/>
    </row>
    <row r="422" spans="1:7" ht="28.5" hidden="1" customHeight="1" x14ac:dyDescent="0.45">
      <c r="A422" s="30">
        <v>420</v>
      </c>
      <c r="B422" s="31" t="s">
        <v>2221</v>
      </c>
      <c r="C422" s="35" t="s">
        <v>2222</v>
      </c>
      <c r="D422" s="32" t="s">
        <v>2223</v>
      </c>
      <c r="E422" s="31" t="s">
        <v>1406</v>
      </c>
      <c r="F422" s="31" t="s">
        <v>1571</v>
      </c>
      <c r="G422" s="31"/>
    </row>
    <row r="423" spans="1:7" ht="28.5" hidden="1" customHeight="1" x14ac:dyDescent="0.45">
      <c r="A423" s="27">
        <v>421</v>
      </c>
      <c r="B423" s="28" t="s">
        <v>2224</v>
      </c>
      <c r="C423" s="34" t="s">
        <v>2225</v>
      </c>
      <c r="D423" s="29" t="s">
        <v>2223</v>
      </c>
      <c r="E423" s="28" t="s">
        <v>1406</v>
      </c>
      <c r="F423" s="28" t="s">
        <v>1571</v>
      </c>
      <c r="G423" s="28"/>
    </row>
    <row r="424" spans="1:7" ht="28.5" hidden="1" customHeight="1" x14ac:dyDescent="0.45">
      <c r="A424" s="30">
        <v>422</v>
      </c>
      <c r="B424" s="31" t="s">
        <v>2226</v>
      </c>
      <c r="C424" s="35" t="s">
        <v>2227</v>
      </c>
      <c r="D424" s="32" t="s">
        <v>2223</v>
      </c>
      <c r="E424" s="31" t="s">
        <v>1406</v>
      </c>
      <c r="F424" s="31" t="s">
        <v>1571</v>
      </c>
      <c r="G424" s="31"/>
    </row>
    <row r="425" spans="1:7" ht="28.5" hidden="1" customHeight="1" x14ac:dyDescent="0.45">
      <c r="A425" s="27">
        <v>423</v>
      </c>
      <c r="B425" s="28" t="s">
        <v>2228</v>
      </c>
      <c r="C425" s="34" t="s">
        <v>2229</v>
      </c>
      <c r="D425" s="29" t="s">
        <v>2223</v>
      </c>
      <c r="E425" s="28" t="s">
        <v>1406</v>
      </c>
      <c r="F425" s="28" t="s">
        <v>1571</v>
      </c>
      <c r="G425" s="28"/>
    </row>
    <row r="426" spans="1:7" ht="28.5" hidden="1" customHeight="1" x14ac:dyDescent="0.45">
      <c r="A426" s="30">
        <v>424</v>
      </c>
      <c r="B426" s="31" t="s">
        <v>2230</v>
      </c>
      <c r="C426" s="35" t="s">
        <v>2231</v>
      </c>
      <c r="D426" s="32" t="s">
        <v>2223</v>
      </c>
      <c r="E426" s="31" t="s">
        <v>1406</v>
      </c>
      <c r="F426" s="31" t="s">
        <v>1571</v>
      </c>
      <c r="G426" s="31"/>
    </row>
    <row r="427" spans="1:7" ht="28.5" hidden="1" customHeight="1" x14ac:dyDescent="0.45">
      <c r="A427" s="27">
        <v>425</v>
      </c>
      <c r="B427" s="28" t="s">
        <v>2232</v>
      </c>
      <c r="C427" s="34" t="s">
        <v>2233</v>
      </c>
      <c r="D427" s="29" t="s">
        <v>2223</v>
      </c>
      <c r="E427" s="28" t="s">
        <v>1406</v>
      </c>
      <c r="F427" s="28" t="s">
        <v>1571</v>
      </c>
      <c r="G427" s="28"/>
    </row>
    <row r="428" spans="1:7" ht="28.5" hidden="1" customHeight="1" x14ac:dyDescent="0.45">
      <c r="A428" s="30">
        <v>426</v>
      </c>
      <c r="B428" s="31" t="s">
        <v>2234</v>
      </c>
      <c r="C428" s="35" t="s">
        <v>2235</v>
      </c>
      <c r="D428" s="32" t="s">
        <v>2223</v>
      </c>
      <c r="E428" s="31" t="s">
        <v>1406</v>
      </c>
      <c r="F428" s="31" t="s">
        <v>1571</v>
      </c>
      <c r="G428" s="31"/>
    </row>
    <row r="429" spans="1:7" ht="28.5" hidden="1" customHeight="1" x14ac:dyDescent="0.45">
      <c r="A429" s="27">
        <v>427</v>
      </c>
      <c r="B429" s="28" t="s">
        <v>2236</v>
      </c>
      <c r="C429" s="34" t="s">
        <v>2237</v>
      </c>
      <c r="D429" s="29" t="s">
        <v>2223</v>
      </c>
      <c r="E429" s="28" t="s">
        <v>1406</v>
      </c>
      <c r="F429" s="28" t="s">
        <v>1571</v>
      </c>
      <c r="G429" s="28"/>
    </row>
    <row r="430" spans="1:7" ht="28.5" hidden="1" customHeight="1" x14ac:dyDescent="0.45">
      <c r="A430" s="30">
        <v>428</v>
      </c>
      <c r="B430" s="31" t="s">
        <v>2238</v>
      </c>
      <c r="C430" s="35" t="s">
        <v>2239</v>
      </c>
      <c r="D430" s="32" t="s">
        <v>2223</v>
      </c>
      <c r="E430" s="31" t="s">
        <v>1406</v>
      </c>
      <c r="F430" s="31" t="s">
        <v>1571</v>
      </c>
      <c r="G430" s="31"/>
    </row>
    <row r="431" spans="1:7" ht="28.5" hidden="1" customHeight="1" x14ac:dyDescent="0.45">
      <c r="A431" s="27">
        <v>429</v>
      </c>
      <c r="B431" s="28" t="s">
        <v>2240</v>
      </c>
      <c r="C431" s="34" t="s">
        <v>2241</v>
      </c>
      <c r="D431" s="29" t="s">
        <v>2223</v>
      </c>
      <c r="E431" s="28" t="s">
        <v>1406</v>
      </c>
      <c r="F431" s="28" t="s">
        <v>1571</v>
      </c>
      <c r="G431" s="28"/>
    </row>
    <row r="432" spans="1:7" ht="28.5" hidden="1" customHeight="1" x14ac:dyDescent="0.45">
      <c r="A432" s="30">
        <v>430</v>
      </c>
      <c r="B432" s="31" t="s">
        <v>2242</v>
      </c>
      <c r="C432" s="35" t="s">
        <v>2243</v>
      </c>
      <c r="D432" s="32" t="s">
        <v>2244</v>
      </c>
      <c r="E432" s="31" t="s">
        <v>1406</v>
      </c>
      <c r="F432" s="31" t="s">
        <v>1419</v>
      </c>
      <c r="G432" s="31"/>
    </row>
    <row r="433" spans="1:7" ht="28.5" hidden="1" customHeight="1" x14ac:dyDescent="0.45">
      <c r="A433" s="27">
        <v>431</v>
      </c>
      <c r="B433" s="28" t="s">
        <v>2245</v>
      </c>
      <c r="C433" s="34" t="s">
        <v>2246</v>
      </c>
      <c r="D433" s="29" t="s">
        <v>2244</v>
      </c>
      <c r="E433" s="28" t="s">
        <v>1406</v>
      </c>
      <c r="F433" s="28" t="s">
        <v>1419</v>
      </c>
      <c r="G433" s="28"/>
    </row>
    <row r="434" spans="1:7" hidden="1" x14ac:dyDescent="0.45">
      <c r="A434" s="30">
        <v>432</v>
      </c>
      <c r="B434" s="31" t="s">
        <v>2247</v>
      </c>
      <c r="C434" s="35" t="s">
        <v>2248</v>
      </c>
      <c r="D434" s="32" t="s">
        <v>2244</v>
      </c>
      <c r="E434" s="31" t="s">
        <v>1406</v>
      </c>
      <c r="F434" s="31" t="s">
        <v>1419</v>
      </c>
      <c r="G434" s="31"/>
    </row>
    <row r="435" spans="1:7" ht="28.5" hidden="1" customHeight="1" x14ac:dyDescent="0.45">
      <c r="A435" s="27">
        <v>433</v>
      </c>
      <c r="B435" s="28" t="s">
        <v>2249</v>
      </c>
      <c r="C435" s="34" t="s">
        <v>2250</v>
      </c>
      <c r="D435" s="29" t="s">
        <v>2244</v>
      </c>
      <c r="E435" s="28" t="s">
        <v>1406</v>
      </c>
      <c r="F435" s="28" t="s">
        <v>1419</v>
      </c>
      <c r="G435" s="28"/>
    </row>
    <row r="436" spans="1:7" ht="28.5" hidden="1" customHeight="1" x14ac:dyDescent="0.45">
      <c r="A436" s="30">
        <v>434</v>
      </c>
      <c r="B436" s="31" t="s">
        <v>2251</v>
      </c>
      <c r="C436" s="35" t="s">
        <v>2252</v>
      </c>
      <c r="D436" s="32" t="s">
        <v>2253</v>
      </c>
      <c r="E436" s="31" t="s">
        <v>1406</v>
      </c>
      <c r="F436" s="31" t="s">
        <v>1571</v>
      </c>
      <c r="G436" s="31"/>
    </row>
    <row r="437" spans="1:7" ht="28.5" hidden="1" customHeight="1" x14ac:dyDescent="0.45">
      <c r="A437" s="27">
        <v>435</v>
      </c>
      <c r="B437" s="28" t="s">
        <v>2254</v>
      </c>
      <c r="C437" s="34" t="s">
        <v>2255</v>
      </c>
      <c r="D437" s="29" t="s">
        <v>2253</v>
      </c>
      <c r="E437" s="28" t="s">
        <v>1406</v>
      </c>
      <c r="F437" s="28" t="s">
        <v>1571</v>
      </c>
      <c r="G437" s="28"/>
    </row>
    <row r="438" spans="1:7" ht="28.5" hidden="1" customHeight="1" x14ac:dyDescent="0.45">
      <c r="A438" s="30">
        <v>436</v>
      </c>
      <c r="B438" s="31" t="s">
        <v>2256</v>
      </c>
      <c r="C438" s="35" t="s">
        <v>2257</v>
      </c>
      <c r="D438" s="32" t="s">
        <v>2253</v>
      </c>
      <c r="E438" s="31" t="s">
        <v>1406</v>
      </c>
      <c r="F438" s="31" t="s">
        <v>1571</v>
      </c>
      <c r="G438" s="31"/>
    </row>
    <row r="439" spans="1:7" ht="28.5" hidden="1" customHeight="1" x14ac:dyDescent="0.45">
      <c r="A439" s="27">
        <v>437</v>
      </c>
      <c r="B439" s="28" t="s">
        <v>2258</v>
      </c>
      <c r="C439" s="34" t="s">
        <v>2259</v>
      </c>
      <c r="D439" s="29" t="s">
        <v>2253</v>
      </c>
      <c r="E439" s="28" t="s">
        <v>1406</v>
      </c>
      <c r="F439" s="28" t="s">
        <v>1571</v>
      </c>
      <c r="G439" s="28"/>
    </row>
    <row r="440" spans="1:7" ht="28.5" hidden="1" customHeight="1" x14ac:dyDescent="0.45">
      <c r="A440" s="30">
        <v>438</v>
      </c>
      <c r="B440" s="31" t="s">
        <v>2260</v>
      </c>
      <c r="C440" s="35" t="s">
        <v>2261</v>
      </c>
      <c r="D440" s="32" t="s">
        <v>2253</v>
      </c>
      <c r="E440" s="31" t="s">
        <v>1406</v>
      </c>
      <c r="F440" s="31" t="s">
        <v>1571</v>
      </c>
      <c r="G440" s="31"/>
    </row>
    <row r="441" spans="1:7" ht="28.5" hidden="1" customHeight="1" x14ac:dyDescent="0.45">
      <c r="A441" s="27">
        <v>439</v>
      </c>
      <c r="B441" s="28" t="s">
        <v>2262</v>
      </c>
      <c r="C441" s="34" t="s">
        <v>2263</v>
      </c>
      <c r="D441" s="29" t="s">
        <v>2253</v>
      </c>
      <c r="E441" s="28" t="s">
        <v>1406</v>
      </c>
      <c r="F441" s="28" t="s">
        <v>1571</v>
      </c>
      <c r="G441" s="28"/>
    </row>
    <row r="442" spans="1:7" hidden="1" x14ac:dyDescent="0.45">
      <c r="A442" s="30">
        <v>440</v>
      </c>
      <c r="B442" s="31" t="s">
        <v>2264</v>
      </c>
      <c r="C442" s="35" t="s">
        <v>2265</v>
      </c>
      <c r="D442" s="32" t="s">
        <v>2253</v>
      </c>
      <c r="E442" s="31" t="s">
        <v>1406</v>
      </c>
      <c r="F442" s="31" t="s">
        <v>1571</v>
      </c>
      <c r="G442" s="31"/>
    </row>
    <row r="443" spans="1:7" ht="28.5" hidden="1" customHeight="1" x14ac:dyDescent="0.45">
      <c r="A443" s="27">
        <v>441</v>
      </c>
      <c r="B443" s="28" t="s">
        <v>2266</v>
      </c>
      <c r="C443" s="34" t="s">
        <v>2267</v>
      </c>
      <c r="D443" s="29" t="s">
        <v>2253</v>
      </c>
      <c r="E443" s="28" t="s">
        <v>1406</v>
      </c>
      <c r="F443" s="28" t="s">
        <v>1571</v>
      </c>
      <c r="G443" s="28"/>
    </row>
    <row r="444" spans="1:7" ht="28.5" hidden="1" customHeight="1" x14ac:dyDescent="0.45">
      <c r="A444" s="30">
        <v>442</v>
      </c>
      <c r="B444" s="31" t="s">
        <v>2268</v>
      </c>
      <c r="C444" s="35" t="s">
        <v>2269</v>
      </c>
      <c r="D444" s="32" t="s">
        <v>2253</v>
      </c>
      <c r="E444" s="31" t="s">
        <v>1406</v>
      </c>
      <c r="F444" s="31" t="s">
        <v>1571</v>
      </c>
      <c r="G444" s="31"/>
    </row>
    <row r="445" spans="1:7" ht="28.5" hidden="1" customHeight="1" x14ac:dyDescent="0.45">
      <c r="A445" s="27">
        <v>443</v>
      </c>
      <c r="B445" s="28" t="s">
        <v>2270</v>
      </c>
      <c r="C445" s="34" t="s">
        <v>2271</v>
      </c>
      <c r="D445" s="29" t="s">
        <v>2272</v>
      </c>
      <c r="E445" s="28" t="s">
        <v>1406</v>
      </c>
      <c r="F445" s="28" t="s">
        <v>1506</v>
      </c>
      <c r="G445" s="28"/>
    </row>
    <row r="446" spans="1:7" hidden="1" x14ac:dyDescent="0.45">
      <c r="A446" s="30">
        <v>444</v>
      </c>
      <c r="B446" s="31" t="s">
        <v>2273</v>
      </c>
      <c r="C446" s="35" t="s">
        <v>2274</v>
      </c>
      <c r="D446" s="32" t="s">
        <v>2272</v>
      </c>
      <c r="E446" s="31" t="s">
        <v>1406</v>
      </c>
      <c r="F446" s="31" t="s">
        <v>1506</v>
      </c>
      <c r="G446" s="31"/>
    </row>
    <row r="447" spans="1:7" ht="28.5" hidden="1" customHeight="1" x14ac:dyDescent="0.45">
      <c r="A447" s="27">
        <v>445</v>
      </c>
      <c r="B447" s="28" t="s">
        <v>2275</v>
      </c>
      <c r="C447" s="34" t="s">
        <v>2276</v>
      </c>
      <c r="D447" s="29" t="s">
        <v>2272</v>
      </c>
      <c r="E447" s="28" t="s">
        <v>1406</v>
      </c>
      <c r="F447" s="28" t="s">
        <v>1506</v>
      </c>
      <c r="G447" s="28"/>
    </row>
    <row r="448" spans="1:7" ht="28.5" hidden="1" customHeight="1" x14ac:dyDescent="0.45">
      <c r="A448" s="30">
        <v>446</v>
      </c>
      <c r="B448" s="31" t="s">
        <v>2277</v>
      </c>
      <c r="C448" s="35" t="s">
        <v>2278</v>
      </c>
      <c r="D448" s="32" t="s">
        <v>2279</v>
      </c>
      <c r="E448" s="31" t="s">
        <v>1406</v>
      </c>
      <c r="F448" s="31" t="s">
        <v>1571</v>
      </c>
      <c r="G448" s="31"/>
    </row>
    <row r="449" spans="1:7" ht="28.5" hidden="1" customHeight="1" x14ac:dyDescent="0.45">
      <c r="A449" s="27">
        <v>447</v>
      </c>
      <c r="B449" s="28" t="s">
        <v>2280</v>
      </c>
      <c r="C449" s="34" t="s">
        <v>2281</v>
      </c>
      <c r="D449" s="29" t="s">
        <v>2279</v>
      </c>
      <c r="E449" s="28" t="s">
        <v>1406</v>
      </c>
      <c r="F449" s="28" t="s">
        <v>1571</v>
      </c>
      <c r="G449" s="28"/>
    </row>
    <row r="450" spans="1:7" ht="28.5" hidden="1" customHeight="1" x14ac:dyDescent="0.45">
      <c r="A450" s="30">
        <v>448</v>
      </c>
      <c r="B450" s="31" t="s">
        <v>2282</v>
      </c>
      <c r="C450" s="35" t="s">
        <v>2283</v>
      </c>
      <c r="D450" s="32" t="s">
        <v>2279</v>
      </c>
      <c r="E450" s="31" t="s">
        <v>1406</v>
      </c>
      <c r="F450" s="31" t="s">
        <v>1571</v>
      </c>
      <c r="G450" s="31"/>
    </row>
    <row r="451" spans="1:7" ht="28.5" hidden="1" customHeight="1" x14ac:dyDescent="0.45">
      <c r="A451" s="27">
        <v>449</v>
      </c>
      <c r="B451" s="28" t="s">
        <v>2284</v>
      </c>
      <c r="C451" s="34" t="s">
        <v>2285</v>
      </c>
      <c r="D451" s="29" t="s">
        <v>2279</v>
      </c>
      <c r="E451" s="28" t="s">
        <v>1406</v>
      </c>
      <c r="F451" s="28" t="s">
        <v>1571</v>
      </c>
      <c r="G451" s="28"/>
    </row>
    <row r="452" spans="1:7" ht="28.5" hidden="1" customHeight="1" x14ac:dyDescent="0.45">
      <c r="A452" s="30">
        <v>450</v>
      </c>
      <c r="B452" s="31" t="s">
        <v>2286</v>
      </c>
      <c r="C452" s="35" t="s">
        <v>2287</v>
      </c>
      <c r="D452" s="32" t="s">
        <v>2279</v>
      </c>
      <c r="E452" s="31" t="s">
        <v>1406</v>
      </c>
      <c r="F452" s="31" t="s">
        <v>1571</v>
      </c>
      <c r="G452" s="31"/>
    </row>
    <row r="453" spans="1:7" ht="28.5" hidden="1" customHeight="1" x14ac:dyDescent="0.45">
      <c r="A453" s="27">
        <v>451</v>
      </c>
      <c r="B453" s="28" t="s">
        <v>2288</v>
      </c>
      <c r="C453" s="34" t="s">
        <v>2289</v>
      </c>
      <c r="D453" s="29" t="s">
        <v>2279</v>
      </c>
      <c r="E453" s="28" t="s">
        <v>1406</v>
      </c>
      <c r="F453" s="28" t="s">
        <v>1477</v>
      </c>
      <c r="G453" s="28"/>
    </row>
    <row r="454" spans="1:7" ht="28.5" hidden="1" customHeight="1" x14ac:dyDescent="0.45">
      <c r="A454" s="30">
        <v>452</v>
      </c>
      <c r="B454" s="31" t="s">
        <v>2290</v>
      </c>
      <c r="C454" s="35" t="s">
        <v>2291</v>
      </c>
      <c r="D454" s="32" t="s">
        <v>2279</v>
      </c>
      <c r="E454" s="31" t="s">
        <v>1406</v>
      </c>
      <c r="F454" s="31" t="s">
        <v>1571</v>
      </c>
      <c r="G454" s="31"/>
    </row>
    <row r="455" spans="1:7" ht="28.5" hidden="1" customHeight="1" x14ac:dyDescent="0.45">
      <c r="A455" s="27">
        <v>453</v>
      </c>
      <c r="B455" s="28" t="s">
        <v>2292</v>
      </c>
      <c r="C455" s="34" t="s">
        <v>2293</v>
      </c>
      <c r="D455" s="29" t="s">
        <v>2294</v>
      </c>
      <c r="E455" s="28" t="s">
        <v>1406</v>
      </c>
      <c r="F455" s="28" t="s">
        <v>1506</v>
      </c>
      <c r="G455" s="28"/>
    </row>
    <row r="456" spans="1:7" ht="28.5" hidden="1" customHeight="1" x14ac:dyDescent="0.45">
      <c r="A456" s="30">
        <v>454</v>
      </c>
      <c r="B456" s="31" t="s">
        <v>2295</v>
      </c>
      <c r="C456" s="35" t="s">
        <v>2296</v>
      </c>
      <c r="D456" s="32" t="s">
        <v>2294</v>
      </c>
      <c r="E456" s="31" t="s">
        <v>1406</v>
      </c>
      <c r="F456" s="31" t="s">
        <v>1506</v>
      </c>
      <c r="G456" s="31"/>
    </row>
    <row r="457" spans="1:7" ht="28.5" hidden="1" customHeight="1" x14ac:dyDescent="0.45">
      <c r="A457" s="27">
        <v>455</v>
      </c>
      <c r="B457" s="28" t="s">
        <v>2297</v>
      </c>
      <c r="C457" s="34" t="s">
        <v>2298</v>
      </c>
      <c r="D457" s="29" t="s">
        <v>2299</v>
      </c>
      <c r="E457" s="28" t="s">
        <v>1406</v>
      </c>
      <c r="F457" s="28" t="s">
        <v>1571</v>
      </c>
      <c r="G457" s="28"/>
    </row>
    <row r="458" spans="1:7" ht="28.5" hidden="1" customHeight="1" x14ac:dyDescent="0.45">
      <c r="A458" s="30">
        <v>456</v>
      </c>
      <c r="B458" s="31" t="s">
        <v>2300</v>
      </c>
      <c r="C458" s="35" t="s">
        <v>2301</v>
      </c>
      <c r="D458" s="32" t="s">
        <v>2299</v>
      </c>
      <c r="E458" s="31" t="s">
        <v>1406</v>
      </c>
      <c r="F458" s="31" t="s">
        <v>1571</v>
      </c>
      <c r="G458" s="31"/>
    </row>
    <row r="459" spans="1:7" ht="28.5" hidden="1" customHeight="1" x14ac:dyDescent="0.45">
      <c r="A459" s="27">
        <v>457</v>
      </c>
      <c r="B459" s="28" t="s">
        <v>2302</v>
      </c>
      <c r="C459" s="34" t="s">
        <v>2303</v>
      </c>
      <c r="D459" s="29" t="s">
        <v>2304</v>
      </c>
      <c r="E459" s="28" t="s">
        <v>1406</v>
      </c>
      <c r="F459" s="28" t="s">
        <v>1571</v>
      </c>
      <c r="G459" s="28"/>
    </row>
    <row r="460" spans="1:7" hidden="1" x14ac:dyDescent="0.45">
      <c r="A460" s="30">
        <v>458</v>
      </c>
      <c r="B460" s="31" t="s">
        <v>2305</v>
      </c>
      <c r="C460" s="35" t="s">
        <v>2306</v>
      </c>
      <c r="D460" s="32" t="s">
        <v>2304</v>
      </c>
      <c r="E460" s="31" t="s">
        <v>1406</v>
      </c>
      <c r="F460" s="31" t="s">
        <v>1571</v>
      </c>
      <c r="G460" s="31"/>
    </row>
    <row r="461" spans="1:7" ht="28.5" hidden="1" customHeight="1" x14ac:dyDescent="0.45">
      <c r="A461" s="27">
        <v>459</v>
      </c>
      <c r="B461" s="28" t="s">
        <v>2307</v>
      </c>
      <c r="C461" s="34" t="s">
        <v>2308</v>
      </c>
      <c r="D461" s="29" t="s">
        <v>2304</v>
      </c>
      <c r="E461" s="28" t="s">
        <v>1406</v>
      </c>
      <c r="F461" s="28" t="s">
        <v>1571</v>
      </c>
      <c r="G461" s="28"/>
    </row>
    <row r="462" spans="1:7" ht="28.5" hidden="1" customHeight="1" x14ac:dyDescent="0.45">
      <c r="A462" s="30">
        <v>460</v>
      </c>
      <c r="B462" s="31" t="s">
        <v>2309</v>
      </c>
      <c r="C462" s="35" t="s">
        <v>2310</v>
      </c>
      <c r="D462" s="32" t="s">
        <v>2311</v>
      </c>
      <c r="E462" s="31" t="s">
        <v>1406</v>
      </c>
      <c r="F462" s="31" t="s">
        <v>1571</v>
      </c>
      <c r="G462" s="31"/>
    </row>
    <row r="463" spans="1:7" ht="28.5" hidden="1" customHeight="1" x14ac:dyDescent="0.45">
      <c r="A463" s="27">
        <v>461</v>
      </c>
      <c r="B463" s="28" t="s">
        <v>2312</v>
      </c>
      <c r="C463" s="34" t="s">
        <v>2313</v>
      </c>
      <c r="D463" s="29" t="s">
        <v>2311</v>
      </c>
      <c r="E463" s="28" t="s">
        <v>1406</v>
      </c>
      <c r="F463" s="28" t="s">
        <v>1477</v>
      </c>
      <c r="G463" s="28"/>
    </row>
  </sheetData>
  <autoFilter ref="A2:F463" xr:uid="{00000000-0009-0000-0000-000002000000}">
    <filterColumn colId="1">
      <filters>
        <filter val="USERS"/>
      </filters>
    </filterColumn>
    <sortState xmlns:xlrd2="http://schemas.microsoft.com/office/spreadsheetml/2017/richdata2" ref="A198:F224">
      <sortCondition ref="E2:E463"/>
    </sortState>
  </autoFilter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tabSelected="1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K8" sqref="K8:L8"/>
    </sheetView>
  </sheetViews>
  <sheetFormatPr defaultRowHeight="14.25" x14ac:dyDescent="0.45"/>
  <cols>
    <col min="1" max="1" width="35" customWidth="1"/>
    <col min="2" max="6" width="16" customWidth="1"/>
    <col min="7" max="7" width="34.265625" bestFit="1" customWidth="1"/>
    <col min="8" max="8" width="27.1328125" bestFit="1" customWidth="1"/>
    <col min="9" max="10" width="9.06640625" style="62"/>
    <col min="13" max="13" width="8.3984375" customWidth="1"/>
  </cols>
  <sheetData>
    <row r="1" spans="1:14" ht="26" customHeight="1" thickBot="1" x14ac:dyDescent="0.5">
      <c r="A1" s="67" t="s">
        <v>2314</v>
      </c>
      <c r="B1" s="68"/>
      <c r="C1" s="68"/>
      <c r="D1" s="68"/>
      <c r="E1" s="68"/>
      <c r="F1" s="68"/>
      <c r="I1" s="69" t="s">
        <v>2322</v>
      </c>
      <c r="J1" s="70"/>
      <c r="K1" s="71" t="s">
        <v>2323</v>
      </c>
      <c r="L1" s="71"/>
      <c r="M1" s="71" t="s">
        <v>2340</v>
      </c>
      <c r="N1" s="71"/>
    </row>
    <row r="2" spans="1:14" ht="28.9" thickBot="1" x14ac:dyDescent="0.5">
      <c r="A2" s="51" t="s">
        <v>2339</v>
      </c>
      <c r="B2" s="21" t="s">
        <v>10</v>
      </c>
      <c r="C2" s="22" t="s">
        <v>197</v>
      </c>
      <c r="D2" s="23" t="s">
        <v>379</v>
      </c>
      <c r="E2" s="49" t="s">
        <v>2318</v>
      </c>
      <c r="F2" s="52" t="s">
        <v>2324</v>
      </c>
      <c r="G2" s="60" t="s">
        <v>2328</v>
      </c>
      <c r="H2" s="63" t="s">
        <v>1403</v>
      </c>
      <c r="I2" s="64" t="s">
        <v>2336</v>
      </c>
      <c r="J2" s="64" t="s">
        <v>2337</v>
      </c>
      <c r="K2" s="64" t="s">
        <v>2336</v>
      </c>
      <c r="L2" s="64" t="s">
        <v>2337</v>
      </c>
      <c r="M2" s="64" t="s">
        <v>2336</v>
      </c>
      <c r="N2" s="64" t="s">
        <v>2337</v>
      </c>
    </row>
    <row r="3" spans="1:14" x14ac:dyDescent="0.45">
      <c r="A3" s="1" t="s">
        <v>9</v>
      </c>
      <c r="B3" s="24">
        <f>COUNTIFS('Chi tiết bảng NV'!$D$2:$D$1000,'Kế hoạch'!A3,'Chi tiết bảng NV'!$E$2:$E$1000,'Kế hoạch'!$B$2)</f>
        <v>65</v>
      </c>
      <c r="C3" s="25">
        <f>COUNTIFS('Chi tiết bảng NV'!$D$2:$D$1000,'Kế hoạch'!A3,'Chi tiết bảng NV'!$E$2:$E$1000,'Kế hoạch'!$C$2)</f>
        <v>0</v>
      </c>
      <c r="D3" s="26">
        <f>COUNTIFS('Chi tiết bảng NV'!$D$2:$D$1000,'Kế hoạch'!A3,'Chi tiết bảng NV'!$E$2:$E$1000,'Kế hoạch'!$D$2)</f>
        <v>0</v>
      </c>
      <c r="E3" s="26">
        <f>COUNTIFS('Chi tiết bảng NV'!$D$2:$D$1000,'Kế hoạch'!A3,'Chi tiết bảng NV'!$E$2:$E$1000,$E$2)</f>
        <v>0</v>
      </c>
      <c r="F3" s="2">
        <f>SUM(B3:E3)</f>
        <v>65</v>
      </c>
      <c r="G3" t="s">
        <v>2327</v>
      </c>
      <c r="H3" t="s">
        <v>1404</v>
      </c>
      <c r="I3" s="62" t="s">
        <v>2325</v>
      </c>
      <c r="J3" s="62" t="s">
        <v>2325</v>
      </c>
      <c r="K3" s="66">
        <v>46203</v>
      </c>
      <c r="L3" s="66">
        <v>46203</v>
      </c>
      <c r="M3" s="54">
        <f>L3+1</f>
        <v>46204</v>
      </c>
      <c r="N3" s="54">
        <f>M3+3</f>
        <v>46207</v>
      </c>
    </row>
    <row r="4" spans="1:14" x14ac:dyDescent="0.45">
      <c r="A4" s="1" t="s">
        <v>152</v>
      </c>
      <c r="B4" s="24">
        <f>COUNTIFS('Chi tiết bảng NV'!$D$2:$D$1000,'Kế hoạch'!A4,'Chi tiết bảng NV'!$E$2:$E$1000,'Kế hoạch'!$B$2)</f>
        <v>29</v>
      </c>
      <c r="C4" s="25">
        <f>COUNTIFS('Chi tiết bảng NV'!$D$2:$D$1000,'Kế hoạch'!A4,'Chi tiết bảng NV'!$E$2:$E$1000,'Kế hoạch'!$C$2)</f>
        <v>57</v>
      </c>
      <c r="D4" s="26">
        <f>COUNTIFS('Chi tiết bảng NV'!$D$2:$D$1000,'Kế hoạch'!A4,'Chi tiết bảng NV'!$E$2:$E$1000,'Kế hoạch'!$D$2)</f>
        <v>12</v>
      </c>
      <c r="E4" s="26">
        <f>COUNTIFS('Chi tiết bảng NV'!$D$2:$D$1000,'Kế hoạch'!A4,'Chi tiết bảng NV'!$E$2:$E$1000,$E$2)</f>
        <v>19</v>
      </c>
      <c r="F4" s="2">
        <f t="shared" ref="F4:F15" si="0">SUM(B4:E4)</f>
        <v>117</v>
      </c>
      <c r="G4" s="59"/>
      <c r="H4" t="s">
        <v>2320</v>
      </c>
      <c r="I4" s="62" t="s">
        <v>2325</v>
      </c>
      <c r="J4" s="62" t="s">
        <v>2325</v>
      </c>
      <c r="K4" s="54">
        <v>46203</v>
      </c>
      <c r="L4" s="66">
        <v>46204</v>
      </c>
      <c r="M4" s="54">
        <f t="shared" ref="M4:M6" si="1">L4+1</f>
        <v>46205</v>
      </c>
      <c r="N4" s="54">
        <f t="shared" ref="N4:N6" si="2">M4+3</f>
        <v>46208</v>
      </c>
    </row>
    <row r="5" spans="1:14" x14ac:dyDescent="0.45">
      <c r="A5" s="1" t="s">
        <v>404</v>
      </c>
      <c r="B5" s="24">
        <f>COUNTIFS('Chi tiết bảng NV'!$D$2:$D$1000,'Kế hoạch'!A5,'Chi tiết bảng NV'!$E$2:$E$1000,'Kế hoạch'!$B$2)</f>
        <v>13</v>
      </c>
      <c r="C5" s="25">
        <f>COUNTIFS('Chi tiết bảng NV'!$D$2:$D$1000,'Kế hoạch'!A5,'Chi tiết bảng NV'!$E$2:$E$1000,'Kế hoạch'!$C$2)</f>
        <v>59</v>
      </c>
      <c r="D5" s="26">
        <f>COUNTIFS('Chi tiết bảng NV'!$D$2:$D$1000,'Kế hoạch'!A5,'Chi tiết bảng NV'!$E$2:$E$1000,'Kế hoạch'!$D$2)</f>
        <v>28</v>
      </c>
      <c r="E5" s="26">
        <f>COUNTIFS('Chi tiết bảng NV'!$D$2:$D$1000,'Kế hoạch'!A5,'Chi tiết bảng NV'!$E$2:$E$1000,$E$2)</f>
        <v>10</v>
      </c>
      <c r="F5" s="2">
        <f t="shared" si="0"/>
        <v>110</v>
      </c>
      <c r="G5" s="59"/>
      <c r="I5" s="66">
        <v>46203</v>
      </c>
      <c r="J5" s="66">
        <v>46203</v>
      </c>
      <c r="K5" s="66">
        <v>46205</v>
      </c>
      <c r="L5" s="66">
        <f>J5+3</f>
        <v>46206</v>
      </c>
      <c r="M5" s="54">
        <f t="shared" si="1"/>
        <v>46207</v>
      </c>
      <c r="N5" s="54">
        <f t="shared" si="2"/>
        <v>46210</v>
      </c>
    </row>
    <row r="6" spans="1:14" x14ac:dyDescent="0.45">
      <c r="A6" s="1" t="s">
        <v>644</v>
      </c>
      <c r="B6" s="24">
        <f>COUNTIFS('Chi tiết bảng NV'!$D$2:$D$1000,'Kế hoạch'!A6,'Chi tiết bảng NV'!$E$2:$E$1000,'Kế hoạch'!$B$2)</f>
        <v>24</v>
      </c>
      <c r="C6" s="25">
        <f>COUNTIFS('Chi tiết bảng NV'!$D$2:$D$1000,'Kế hoạch'!A6,'Chi tiết bảng NV'!$E$2:$E$1000,'Kế hoạch'!$C$2)</f>
        <v>26</v>
      </c>
      <c r="D6" s="26">
        <f>COUNTIFS('Chi tiết bảng NV'!$D$2:$D$1000,'Kế hoạch'!A6,'Chi tiết bảng NV'!$E$2:$E$1000,'Kế hoạch'!$D$2)</f>
        <v>10</v>
      </c>
      <c r="E6" s="26">
        <f>COUNTIFS('Chi tiết bảng NV'!$D$2:$D$1000,'Kế hoạch'!A6,'Chi tiết bảng NV'!$E$2:$E$1000,$E$2)</f>
        <v>8</v>
      </c>
      <c r="F6" s="2">
        <f t="shared" si="0"/>
        <v>68</v>
      </c>
      <c r="G6" s="59"/>
      <c r="I6" s="66">
        <v>46203</v>
      </c>
      <c r="J6" s="66">
        <v>46203</v>
      </c>
      <c r="K6" s="66">
        <v>46205</v>
      </c>
      <c r="L6" s="66">
        <f>J6+3</f>
        <v>46206</v>
      </c>
      <c r="M6" s="54">
        <f t="shared" si="1"/>
        <v>46207</v>
      </c>
      <c r="N6" s="54">
        <f t="shared" si="2"/>
        <v>46210</v>
      </c>
    </row>
    <row r="7" spans="1:14" x14ac:dyDescent="0.45">
      <c r="A7" s="1" t="s">
        <v>762</v>
      </c>
      <c r="B7" s="24">
        <f>COUNTIFS('Chi tiết bảng NV'!$D$2:$D$1000,'Kế hoạch'!A7,'Chi tiết bảng NV'!$E$2:$E$1000,'Kế hoạch'!$B$2)</f>
        <v>13</v>
      </c>
      <c r="C7" s="25">
        <f>COUNTIFS('Chi tiết bảng NV'!$D$2:$D$1000,'Kế hoạch'!A7,'Chi tiết bảng NV'!$E$2:$E$1000,'Kế hoạch'!$C$2)</f>
        <v>48</v>
      </c>
      <c r="D7" s="26">
        <f>COUNTIFS('Chi tiết bảng NV'!$D$2:$D$1000,'Kế hoạch'!A7,'Chi tiết bảng NV'!$E$2:$E$1000,'Kế hoạch'!$D$2)</f>
        <v>5</v>
      </c>
      <c r="E7" s="26">
        <f>COUNTIFS('Chi tiết bảng NV'!$D$2:$D$1000,'Kế hoạch'!A7,'Chi tiết bảng NV'!$E$2:$E$1000,$E$2)</f>
        <v>0</v>
      </c>
      <c r="F7" s="2">
        <f t="shared" si="0"/>
        <v>66</v>
      </c>
      <c r="G7" s="59"/>
      <c r="H7" t="s">
        <v>1404</v>
      </c>
      <c r="I7" s="62" t="s">
        <v>2325</v>
      </c>
      <c r="J7" s="62" t="s">
        <v>2325</v>
      </c>
      <c r="K7" s="62" t="s">
        <v>2325</v>
      </c>
      <c r="L7" s="62" t="s">
        <v>2325</v>
      </c>
    </row>
    <row r="8" spans="1:14" x14ac:dyDescent="0.45">
      <c r="A8" s="1" t="s">
        <v>896</v>
      </c>
      <c r="B8" s="24">
        <f>COUNTIFS('Chi tiết bảng NV'!$D$2:$D$1000,'Kế hoạch'!A8,'Chi tiết bảng NV'!$E$2:$E$1000,'Kế hoạch'!$B$2)</f>
        <v>0</v>
      </c>
      <c r="C8" s="25">
        <f>COUNTIFS('Chi tiết bảng NV'!$D$2:$D$1000,'Kế hoạch'!A8,'Chi tiết bảng NV'!$E$2:$E$1000,'Kế hoạch'!$C$2)</f>
        <v>54</v>
      </c>
      <c r="D8" s="26">
        <f>COUNTIFS('Chi tiết bảng NV'!$D$2:$D$1000,'Kế hoạch'!A8,'Chi tiết bảng NV'!$E$2:$E$1000,'Kế hoạch'!$D$2)</f>
        <v>2</v>
      </c>
      <c r="E8" s="26">
        <f>COUNTIFS('Chi tiết bảng NV'!$D$2:$D$1000,'Kế hoạch'!A8,'Chi tiết bảng NV'!$E$2:$E$1000,$E$2)</f>
        <v>0</v>
      </c>
      <c r="F8" s="2">
        <f t="shared" si="0"/>
        <v>56</v>
      </c>
      <c r="G8" s="59"/>
      <c r="H8" t="s">
        <v>1404</v>
      </c>
      <c r="I8" s="62" t="s">
        <v>2325</v>
      </c>
      <c r="J8" s="62" t="s">
        <v>2325</v>
      </c>
      <c r="K8" s="66">
        <v>46203</v>
      </c>
      <c r="L8" s="66">
        <v>46203</v>
      </c>
    </row>
    <row r="9" spans="1:14" x14ac:dyDescent="0.45">
      <c r="A9" s="1" t="s">
        <v>1035</v>
      </c>
      <c r="B9" s="24">
        <f>COUNTIFS('Chi tiết bảng NV'!$D$2:$D$1000,'Kế hoạch'!A9,'Chi tiết bảng NV'!$E$2:$E$1000,'Kế hoạch'!$B$2)</f>
        <v>2</v>
      </c>
      <c r="C9" s="25">
        <f>COUNTIFS('Chi tiết bảng NV'!$D$2:$D$1000,'Kế hoạch'!A9,'Chi tiết bảng NV'!$E$2:$E$1000,'Kế hoạch'!$C$2)</f>
        <v>15</v>
      </c>
      <c r="D9" s="26">
        <f>COUNTIFS('Chi tiết bảng NV'!$D$2:$D$1000,'Kế hoạch'!A9,'Chi tiết bảng NV'!$E$2:$E$1000,'Kế hoạch'!$D$2)</f>
        <v>7</v>
      </c>
      <c r="E9" s="26">
        <f>COUNTIFS('Chi tiết bảng NV'!$D$2:$D$1000,'Kế hoạch'!A9,'Chi tiết bảng NV'!$E$2:$E$1000,$E$2)</f>
        <v>7</v>
      </c>
      <c r="F9" s="2">
        <f t="shared" si="0"/>
        <v>31</v>
      </c>
      <c r="G9" t="s">
        <v>2327</v>
      </c>
      <c r="I9" s="66">
        <v>46203</v>
      </c>
      <c r="J9" s="66">
        <v>46203</v>
      </c>
      <c r="K9" s="54">
        <v>46209</v>
      </c>
      <c r="L9" s="66">
        <v>46210</v>
      </c>
      <c r="M9" s="54">
        <f t="shared" ref="M9:M10" si="3">L9+1</f>
        <v>46211</v>
      </c>
      <c r="N9" s="54">
        <f t="shared" ref="N9:N10" si="4">M9+3</f>
        <v>46214</v>
      </c>
    </row>
    <row r="10" spans="1:14" x14ac:dyDescent="0.45">
      <c r="A10" s="1" t="s">
        <v>1143</v>
      </c>
      <c r="B10" s="24">
        <f>COUNTIFS('Chi tiết bảng NV'!$D$2:$D$1000,'Kế hoạch'!A10,'Chi tiết bảng NV'!$E$2:$E$1000,'Kế hoạch'!$B$2)</f>
        <v>1</v>
      </c>
      <c r="C10" s="25">
        <f>COUNTIFS('Chi tiết bảng NV'!$D$2:$D$1000,'Kế hoạch'!A10,'Chi tiết bảng NV'!$E$2:$E$1000,'Kế hoạch'!$C$2)</f>
        <v>7</v>
      </c>
      <c r="D10" s="26">
        <f>COUNTIFS('Chi tiết bảng NV'!$D$2:$D$1000,'Kế hoạch'!A10,'Chi tiết bảng NV'!$E$2:$E$1000,'Kế hoạch'!$D$2)</f>
        <v>1</v>
      </c>
      <c r="E10" s="26">
        <f>COUNTIFS('Chi tiết bảng NV'!$D$2:$D$1000,'Kế hoạch'!A10,'Chi tiết bảng NV'!$E$2:$E$1000,$E$2)</f>
        <v>0</v>
      </c>
      <c r="F10" s="2">
        <f t="shared" si="0"/>
        <v>9</v>
      </c>
      <c r="G10" t="s">
        <v>2327</v>
      </c>
      <c r="I10" s="66">
        <v>46203</v>
      </c>
      <c r="J10" s="66">
        <v>46203</v>
      </c>
      <c r="K10" s="54">
        <v>46209</v>
      </c>
      <c r="L10" s="66">
        <v>46210</v>
      </c>
      <c r="M10" s="54">
        <f t="shared" si="3"/>
        <v>46211</v>
      </c>
      <c r="N10" s="54">
        <f t="shared" si="4"/>
        <v>46214</v>
      </c>
    </row>
    <row r="11" spans="1:14" x14ac:dyDescent="0.45">
      <c r="A11" s="1" t="s">
        <v>1153</v>
      </c>
      <c r="B11" s="24">
        <f>COUNTIFS('Chi tiết bảng NV'!$D$2:$D$1000,'Kế hoạch'!A11,'Chi tiết bảng NV'!$E$2:$E$1000,'Kế hoạch'!$B$2)</f>
        <v>4</v>
      </c>
      <c r="C11" s="25">
        <f>COUNTIFS('Chi tiết bảng NV'!$D$2:$D$1000,'Kế hoạch'!A11,'Chi tiết bảng NV'!$E$2:$E$1000,'Kế hoạch'!$C$2)</f>
        <v>0</v>
      </c>
      <c r="D11" s="26">
        <f>COUNTIFS('Chi tiết bảng NV'!$D$2:$D$1000,'Kế hoạch'!A11,'Chi tiết bảng NV'!$E$2:$E$1000,'Kế hoạch'!$D$2)</f>
        <v>2</v>
      </c>
      <c r="E11" s="26">
        <f>COUNTIFS('Chi tiết bảng NV'!$D$2:$D$1000,'Kế hoạch'!A11,'Chi tiết bảng NV'!$E$2:$E$1000,$E$2)</f>
        <v>10</v>
      </c>
      <c r="F11" s="2">
        <f t="shared" si="0"/>
        <v>16</v>
      </c>
      <c r="G11" t="s">
        <v>2321</v>
      </c>
      <c r="I11" s="62" t="s">
        <v>2332</v>
      </c>
      <c r="J11" s="62" t="s">
        <v>2332</v>
      </c>
      <c r="K11" s="62" t="s">
        <v>2332</v>
      </c>
      <c r="L11" s="62" t="s">
        <v>2332</v>
      </c>
    </row>
    <row r="12" spans="1:14" x14ac:dyDescent="0.45">
      <c r="A12" s="1" t="s">
        <v>1184</v>
      </c>
      <c r="B12" s="24">
        <f>COUNTIFS('Chi tiết bảng NV'!$D$2:$D$1000,'Kế hoạch'!A12,'Chi tiết bảng NV'!$E$2:$E$1000,'Kế hoạch'!$B$2)</f>
        <v>0</v>
      </c>
      <c r="C12" s="25">
        <f>COUNTIFS('Chi tiết bảng NV'!$D$2:$D$1000,'Kế hoạch'!A12,'Chi tiết bảng NV'!$E$2:$E$1000,'Kế hoạch'!$C$2)</f>
        <v>0</v>
      </c>
      <c r="D12" s="26">
        <f>COUNTIFS('Chi tiết bảng NV'!$D$2:$D$1000,'Kế hoạch'!A12,'Chi tiết bảng NV'!$E$2:$E$1000,'Kế hoạch'!$D$2)</f>
        <v>0</v>
      </c>
      <c r="E12" s="26">
        <f>COUNTIFS('Chi tiết bảng NV'!$D$2:$D$1000,'Kế hoạch'!A12,'Chi tiết bảng NV'!$E$2:$E$1000,$E$2)</f>
        <v>17</v>
      </c>
      <c r="F12" s="2">
        <f t="shared" si="0"/>
        <v>17</v>
      </c>
      <c r="G12" t="s">
        <v>2321</v>
      </c>
      <c r="I12" s="62" t="s">
        <v>2332</v>
      </c>
      <c r="J12" s="62" t="s">
        <v>2332</v>
      </c>
      <c r="K12" s="62" t="s">
        <v>2332</v>
      </c>
      <c r="L12" s="62" t="s">
        <v>2332</v>
      </c>
    </row>
    <row r="13" spans="1:14" x14ac:dyDescent="0.45">
      <c r="A13" s="1" t="s">
        <v>1214</v>
      </c>
      <c r="B13" s="24">
        <f>COUNTIFS('Chi tiết bảng NV'!$D$2:$D$1000,'Kế hoạch'!A13,'Chi tiết bảng NV'!$E$2:$E$1000,'Kế hoạch'!$B$2)</f>
        <v>0</v>
      </c>
      <c r="C13" s="25">
        <f>COUNTIFS('Chi tiết bảng NV'!$D$2:$D$1000,'Kế hoạch'!A13,'Chi tiết bảng NV'!$E$2:$E$1000,'Kế hoạch'!$C$2)</f>
        <v>16</v>
      </c>
      <c r="D13" s="26">
        <f>COUNTIFS('Chi tiết bảng NV'!$D$2:$D$1000,'Kế hoạch'!A13,'Chi tiết bảng NV'!$E$2:$E$1000,'Kế hoạch'!$D$2)</f>
        <v>0</v>
      </c>
      <c r="E13" s="26">
        <f>COUNTIFS('Chi tiết bảng NV'!$D$2:$D$1000,'Kế hoạch'!A13,'Chi tiết bảng NV'!$E$2:$E$1000,$E$2)</f>
        <v>0</v>
      </c>
      <c r="F13" s="2">
        <f t="shared" si="0"/>
        <v>16</v>
      </c>
      <c r="G13" t="s">
        <v>2327</v>
      </c>
      <c r="I13" s="66">
        <v>46203</v>
      </c>
      <c r="J13" s="66">
        <v>46203</v>
      </c>
      <c r="K13" s="54">
        <v>46209</v>
      </c>
      <c r="L13" s="66">
        <v>46210</v>
      </c>
      <c r="M13" s="54">
        <f t="shared" ref="M13:M16" si="5">L13+1</f>
        <v>46211</v>
      </c>
      <c r="N13" s="54">
        <f t="shared" ref="N13:N16" si="6">M13+3</f>
        <v>46214</v>
      </c>
    </row>
    <row r="14" spans="1:14" x14ac:dyDescent="0.45">
      <c r="A14" s="1" t="s">
        <v>2319</v>
      </c>
      <c r="B14" s="24">
        <f>COUNTIFS('Chi tiết bảng NV'!$D$2:$D$1000,'Kế hoạch'!A14,'Chi tiết bảng NV'!$E$2:$E$1000,'Kế hoạch'!$B$2)</f>
        <v>8</v>
      </c>
      <c r="C14" s="25">
        <f>COUNTIFS('Chi tiết bảng NV'!$D$2:$D$1000,'Kế hoạch'!A14,'Chi tiết bảng NV'!$E$2:$E$1000,'Kế hoạch'!$C$2)</f>
        <v>48</v>
      </c>
      <c r="D14" s="26">
        <f>COUNTIFS('Chi tiết bảng NV'!$D$2:$D$1000,'Kế hoạch'!A14,'Chi tiết bảng NV'!$E$2:$E$1000,'Kế hoạch'!$D$2)</f>
        <v>7</v>
      </c>
      <c r="E14" s="26">
        <f>COUNTIFS('Chi tiết bảng NV'!$D$2:$D$1000,'Kế hoạch'!A14,'Chi tiết bảng NV'!$E$2:$E$1000,$E$2)</f>
        <v>11</v>
      </c>
      <c r="F14" s="2">
        <f t="shared" si="0"/>
        <v>74</v>
      </c>
      <c r="H14" t="s">
        <v>2320</v>
      </c>
      <c r="I14" s="62" t="s">
        <v>2325</v>
      </c>
      <c r="J14" s="62" t="s">
        <v>2325</v>
      </c>
      <c r="K14" s="54">
        <v>46203</v>
      </c>
      <c r="L14" s="66">
        <v>46204</v>
      </c>
      <c r="M14" s="54">
        <f t="shared" si="5"/>
        <v>46205</v>
      </c>
      <c r="N14" s="54">
        <f t="shared" si="6"/>
        <v>46208</v>
      </c>
    </row>
    <row r="15" spans="1:14" x14ac:dyDescent="0.45">
      <c r="A15" s="1" t="s">
        <v>1406</v>
      </c>
      <c r="B15" s="24">
        <f>COUNTIFS('Chi tiết bảng NV'!$D$2:$D$1000,'Kế hoạch'!A15,'Chi tiết bảng NV'!$E$2:$E$1000,'Kế hoạch'!$B$2)</f>
        <v>0</v>
      </c>
      <c r="C15" s="25">
        <f>COUNTIFS('Chi tiết bảng NV'!$D$2:$D$1000,'Kế hoạch'!A15,'Chi tiết bảng NV'!$E$2:$E$1000,'Kế hoạch'!$C$2)</f>
        <v>0</v>
      </c>
      <c r="D15" s="26">
        <f>COUNTIFS('Chi tiết bảng NV'!$D$2:$D$1000,'Kế hoạch'!A15,'Chi tiết bảng NV'!$E$2:$E$1000,'Kế hoạch'!$D$2)</f>
        <v>0</v>
      </c>
      <c r="E15" s="26">
        <f>COUNTIFS('Chi tiết bảng NV'!$D$2:$D$1000,'Kế hoạch'!A15,'Chi tiết bảng NV'!$E$2:$E$1000,$E$2)</f>
        <v>0</v>
      </c>
      <c r="F15" s="2">
        <f t="shared" si="0"/>
        <v>0</v>
      </c>
      <c r="G15" t="s">
        <v>2327</v>
      </c>
      <c r="I15" s="66">
        <v>46203</v>
      </c>
      <c r="J15" s="66">
        <v>46203</v>
      </c>
      <c r="K15" s="54">
        <v>46209</v>
      </c>
      <c r="L15" s="66">
        <v>46210</v>
      </c>
      <c r="M15" s="54">
        <f t="shared" si="5"/>
        <v>46211</v>
      </c>
      <c r="N15" s="54">
        <f t="shared" si="6"/>
        <v>46214</v>
      </c>
    </row>
    <row r="16" spans="1:14" ht="14.65" thickBot="1" x14ac:dyDescent="0.5">
      <c r="A16" s="55" t="s">
        <v>2326</v>
      </c>
      <c r="B16" s="56"/>
      <c r="C16" s="57"/>
      <c r="D16" s="58"/>
      <c r="E16" s="58"/>
      <c r="F16" s="59"/>
      <c r="G16" t="s">
        <v>2331</v>
      </c>
      <c r="I16" s="66">
        <v>46202</v>
      </c>
      <c r="J16" s="66">
        <v>46202</v>
      </c>
      <c r="K16" s="66">
        <v>46202</v>
      </c>
      <c r="L16" s="66">
        <v>46202</v>
      </c>
      <c r="M16" s="54">
        <f t="shared" si="5"/>
        <v>46203</v>
      </c>
      <c r="N16" s="54">
        <f t="shared" si="6"/>
        <v>46206</v>
      </c>
    </row>
    <row r="17" spans="1:7" ht="14.65" thickBot="1" x14ac:dyDescent="0.5">
      <c r="A17" s="3" t="s">
        <v>2315</v>
      </c>
      <c r="B17" s="4">
        <f>SUM(B3:B15)</f>
        <v>159</v>
      </c>
      <c r="C17" s="4">
        <f t="shared" ref="C17:E17" si="7">SUM(C3:C15)</f>
        <v>330</v>
      </c>
      <c r="D17" s="4">
        <f t="shared" si="7"/>
        <v>74</v>
      </c>
      <c r="E17" s="4">
        <f t="shared" si="7"/>
        <v>82</v>
      </c>
      <c r="F17" s="4">
        <f>SUM(F3:F15)</f>
        <v>645</v>
      </c>
      <c r="G17" s="61"/>
    </row>
    <row r="19" spans="1:7" ht="14.65" thickBot="1" x14ac:dyDescent="0.5">
      <c r="B19" s="69" t="s">
        <v>2322</v>
      </c>
      <c r="C19" s="70"/>
      <c r="D19" s="71" t="s">
        <v>2323</v>
      </c>
      <c r="E19" s="71"/>
    </row>
    <row r="20" spans="1:7" ht="14.65" thickBot="1" x14ac:dyDescent="0.5">
      <c r="A20" s="51" t="s">
        <v>2338</v>
      </c>
      <c r="B20" s="64" t="s">
        <v>2336</v>
      </c>
      <c r="C20" s="64" t="s">
        <v>2337</v>
      </c>
      <c r="D20" s="64" t="s">
        <v>2336</v>
      </c>
      <c r="E20" s="64" t="s">
        <v>2337</v>
      </c>
    </row>
    <row r="21" spans="1:7" x14ac:dyDescent="0.45">
      <c r="A21" t="s">
        <v>152</v>
      </c>
      <c r="B21" s="54">
        <f>E22+2</f>
        <v>46216</v>
      </c>
      <c r="C21" s="54">
        <f>B21</f>
        <v>46216</v>
      </c>
      <c r="D21" s="54">
        <f>C21+1</f>
        <v>46217</v>
      </c>
      <c r="E21" s="54">
        <f>D21</f>
        <v>46217</v>
      </c>
    </row>
    <row r="22" spans="1:7" x14ac:dyDescent="0.45">
      <c r="A22" t="s">
        <v>404</v>
      </c>
      <c r="B22" s="54">
        <f>B23+1</f>
        <v>46213</v>
      </c>
      <c r="C22" s="54">
        <f>B22</f>
        <v>46213</v>
      </c>
      <c r="D22" s="54">
        <f>C22+1</f>
        <v>46214</v>
      </c>
      <c r="E22" s="54">
        <f>D22</f>
        <v>46214</v>
      </c>
    </row>
    <row r="23" spans="1:7" x14ac:dyDescent="0.45">
      <c r="A23" t="s">
        <v>644</v>
      </c>
      <c r="B23" s="54">
        <f>D26+1</f>
        <v>46212</v>
      </c>
      <c r="C23" s="54">
        <f>B23</f>
        <v>46212</v>
      </c>
      <c r="D23" s="54">
        <f>C23</f>
        <v>46212</v>
      </c>
      <c r="E23" s="54">
        <f>D23</f>
        <v>46212</v>
      </c>
    </row>
    <row r="24" spans="1:7" x14ac:dyDescent="0.45">
      <c r="A24" t="s">
        <v>762</v>
      </c>
      <c r="B24" t="s">
        <v>2325</v>
      </c>
      <c r="C24" t="s">
        <v>2325</v>
      </c>
      <c r="D24" t="s">
        <v>2325</v>
      </c>
      <c r="E24" t="s">
        <v>2325</v>
      </c>
    </row>
    <row r="25" spans="1:7" x14ac:dyDescent="0.45">
      <c r="A25" t="s">
        <v>896</v>
      </c>
      <c r="B25" s="54">
        <f>L8+1</f>
        <v>46204</v>
      </c>
      <c r="C25" s="54">
        <f>B25</f>
        <v>46204</v>
      </c>
      <c r="D25" s="54">
        <v>46204</v>
      </c>
      <c r="E25" s="54">
        <v>46204</v>
      </c>
    </row>
    <row r="26" spans="1:7" x14ac:dyDescent="0.45">
      <c r="A26" t="s">
        <v>1035</v>
      </c>
      <c r="B26" s="54">
        <f>B29+1</f>
        <v>46210</v>
      </c>
      <c r="C26" s="54">
        <f t="shared" ref="C26:C31" si="8">B26</f>
        <v>46210</v>
      </c>
      <c r="D26" s="54">
        <f>C26+1</f>
        <v>46211</v>
      </c>
      <c r="E26" s="54">
        <f t="shared" ref="E26:E31" si="9">D26</f>
        <v>46211</v>
      </c>
    </row>
    <row r="27" spans="1:7" x14ac:dyDescent="0.45">
      <c r="A27" t="s">
        <v>1153</v>
      </c>
      <c r="B27" s="54">
        <f>E21+1</f>
        <v>46218</v>
      </c>
      <c r="C27" s="54">
        <f t="shared" si="8"/>
        <v>46218</v>
      </c>
      <c r="D27" s="54">
        <f>C27+1</f>
        <v>46219</v>
      </c>
      <c r="E27" s="54">
        <f t="shared" si="9"/>
        <v>46219</v>
      </c>
    </row>
    <row r="28" spans="1:7" x14ac:dyDescent="0.45">
      <c r="A28" t="s">
        <v>1184</v>
      </c>
      <c r="B28" s="54">
        <f>E31+1</f>
        <v>46224</v>
      </c>
      <c r="C28" s="54">
        <f t="shared" si="8"/>
        <v>46224</v>
      </c>
      <c r="D28" s="54">
        <f>C28+1</f>
        <v>46225</v>
      </c>
      <c r="E28" s="54">
        <f t="shared" si="9"/>
        <v>46225</v>
      </c>
    </row>
    <row r="29" spans="1:7" x14ac:dyDescent="0.45">
      <c r="A29" t="s">
        <v>2333</v>
      </c>
      <c r="B29" s="54">
        <f>E30+3</f>
        <v>46209</v>
      </c>
      <c r="C29" s="54">
        <f t="shared" si="8"/>
        <v>46209</v>
      </c>
      <c r="D29" s="54">
        <f>C29</f>
        <v>46209</v>
      </c>
      <c r="E29" s="54">
        <f t="shared" si="9"/>
        <v>46209</v>
      </c>
    </row>
    <row r="30" spans="1:7" x14ac:dyDescent="0.45">
      <c r="A30" t="s">
        <v>2334</v>
      </c>
      <c r="B30" s="54">
        <f>L14+1</f>
        <v>46205</v>
      </c>
      <c r="C30" s="54">
        <f t="shared" si="8"/>
        <v>46205</v>
      </c>
      <c r="D30" s="54">
        <f>C30+1</f>
        <v>46206</v>
      </c>
      <c r="E30" s="54">
        <f t="shared" si="9"/>
        <v>46206</v>
      </c>
    </row>
    <row r="31" spans="1:7" x14ac:dyDescent="0.45">
      <c r="A31" t="s">
        <v>2335</v>
      </c>
      <c r="B31" s="54">
        <f>D27+1</f>
        <v>46220</v>
      </c>
      <c r="C31" s="54">
        <f t="shared" si="8"/>
        <v>46220</v>
      </c>
      <c r="D31" s="54">
        <v>46223</v>
      </c>
      <c r="E31" s="54">
        <f t="shared" si="9"/>
        <v>46223</v>
      </c>
    </row>
  </sheetData>
  <mergeCells count="6">
    <mergeCell ref="M1:N1"/>
    <mergeCell ref="A1:F1"/>
    <mergeCell ref="I1:J1"/>
    <mergeCell ref="K1:L1"/>
    <mergeCell ref="B19:C19"/>
    <mergeCell ref="D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 tiết bảng NV</vt:lpstr>
      <vt:lpstr>Chi tiết bảng HT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Nam</cp:lastModifiedBy>
  <dcterms:created xsi:type="dcterms:W3CDTF">2026-06-27T11:17:51Z</dcterms:created>
  <dcterms:modified xsi:type="dcterms:W3CDTF">2026-07-01T06:57:20Z</dcterms:modified>
</cp:coreProperties>
</file>